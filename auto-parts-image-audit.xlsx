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 Image Audit" sheetId="1" state="visible" r:id="rId1"/>
    <sheet xmlns:r="http://schemas.openxmlformats.org/officeDocument/2006/relationships" name="Summary &amp; SEO Guide" sheetId="2" state="visible" r:id="rId2"/>
  </sheets>
  <definedNames>
    <definedName name="_xlnm._FilterDatabase" localSheetId="0" hidden="1">'Parts Image Audit'!$A$4:$M$108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i val="1"/>
      <color rgb="00C00000"/>
      <sz val="9"/>
    </font>
    <font>
      <name val="Arial"/>
      <b val="1"/>
      <color rgb="001F4E79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1"/>
    </font>
    <font>
      <name val="Arial"/>
      <b val="1"/>
      <color rgb="00C00000"/>
      <sz val="11"/>
    </font>
    <font>
      <name val="Arial"/>
      <b val="1"/>
      <color rgb="001F4E79"/>
      <sz val="12"/>
    </font>
    <font>
      <name val="Arial"/>
      <color rgb="001F4E79"/>
      <sz val="10"/>
    </font>
    <font>
      <name val="Arial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45" customWidth="1" min="4" max="4"/>
    <col width="20" customWidth="1" min="5" max="5"/>
    <col width="40" customWidth="1" min="6" max="6"/>
    <col width="20" customWidth="1" min="7" max="7"/>
    <col width="14" customWidth="1" min="8" max="8"/>
    <col width="30" customWidth="1" min="9" max="9"/>
    <col width="25" customWidth="1" min="10" max="10"/>
    <col width="55" customWidth="1" min="11" max="11"/>
    <col width="55" customWidth="1" min="12" max="12"/>
    <col width="65" customWidth="1" min="13" max="13"/>
  </cols>
  <sheetData>
    <row r="1">
      <c r="A1" s="1" t="inlineStr">
        <is>
          <t>Globalucar Auto Parts - Image &amp; OEM Verification Sheet</t>
        </is>
      </c>
    </row>
    <row r="2">
      <c r="A2" s="2" t="inlineStr">
        <is>
          <t>For Internal Use - Product Team Review | Generated: 2026-04-14 | Total: 100 parts across 4 systems</t>
        </is>
      </c>
    </row>
    <row r="3" ht="30" customHeight="1">
      <c r="A3" s="3" t="inlineStr">
        <is>
          <t>Instructions: Column G-J (yellow) are for product team to fill in. Column H: check if current image matches OEM part. Column I: provide correct image filename if mismatch found.</t>
        </is>
      </c>
    </row>
    <row r="4">
      <c r="A4" s="4" t="inlineStr">
        <is>
          <t>ID</t>
        </is>
      </c>
      <c r="B4" s="4" t="inlineStr">
        <is>
          <t>System</t>
        </is>
      </c>
      <c r="C4" s="4" t="inlineStr">
        <is>
          <t>Current Image
(File Name)</t>
        </is>
      </c>
      <c r="D4" s="4" t="inlineStr">
        <is>
          <t>Product Title</t>
        </is>
      </c>
      <c r="E4" s="4" t="inlineStr">
        <is>
          <t>Current OEM
Part Number</t>
        </is>
      </c>
      <c r="F4" s="4" t="inlineStr">
        <is>
          <t>Product Link
(website)</t>
        </is>
      </c>
      <c r="G4" s="4" t="inlineStr">
        <is>
          <t>Correct OEM
(Staff Fill)</t>
        </is>
      </c>
      <c r="H4" s="4" t="inlineStr">
        <is>
          <t>Image Match?
(Yes/No)</t>
        </is>
      </c>
      <c r="I4" s="4" t="inlineStr">
        <is>
          <t>Correct Image
(File Name)
(Staff Fill)</t>
        </is>
      </c>
      <c r="J4" s="4" t="inlineStr">
        <is>
          <t>Image Source
(Staff Fill)</t>
        </is>
      </c>
      <c r="K4" s="4" t="inlineStr">
        <is>
          <t>Alt Text
(For SEO)</t>
        </is>
      </c>
      <c r="L4" s="4" t="inlineStr">
        <is>
          <t>Meta Title
(For SEO)</t>
        </is>
      </c>
      <c r="M4" s="4" t="inlineStr">
        <is>
          <t>Meta Description
(For SEO)</t>
        </is>
      </c>
    </row>
    <row r="5" ht="22" customHeight="1">
      <c r="A5" s="5" t="inlineStr">
        <is>
          <t>🔴 Engine System (31 parts)</t>
        </is>
      </c>
    </row>
    <row r="6" ht="40" customHeight="1">
      <c r="A6" s="6" t="n">
        <v>31</v>
      </c>
      <c r="B6" s="7" t="inlineStr">
        <is>
          <t>Ignition Coil</t>
        </is>
      </c>
      <c r="C6" s="7" t="inlineStr">
        <is>
          <t>part_031_ignition_coil.jpg</t>
        </is>
      </c>
      <c r="D6" s="7" t="inlineStr">
        <is>
          <t>Ignition Coil</t>
        </is>
      </c>
      <c r="E6" s="7" t="inlineStr"/>
      <c r="F6" s="8">
        <f>HYPERLINK("https://www.global-ucars.com/product-detail.html?id=31","View Product #31")</f>
        <v/>
      </c>
      <c r="G6" s="9" t="inlineStr"/>
      <c r="H6" s="9" t="inlineStr"/>
      <c r="I6" s="9" t="inlineStr"/>
      <c r="J6" s="9" t="inlineStr"/>
      <c r="K6" s="7" t="inlineStr">
        <is>
          <t>Ignition Coil wholesale OEM supplier China export — Engine System auto parts</t>
        </is>
      </c>
      <c r="L6" s="7" t="inlineStr">
        <is>
          <t>Ignition Coil Wholesale China | Engine System Supplier — Kin</t>
        </is>
      </c>
      <c r="M6" s="7" t="inlineStr">
        <is>
          <t>Buy Ignition Coil wholesale from China. Our OEM-equivalent ignition coils are engineered to meet or exceed original equipment specifications, delivering consist</t>
        </is>
      </c>
    </row>
    <row r="7" ht="40" customHeight="1">
      <c r="A7" s="6" t="n">
        <v>32</v>
      </c>
      <c r="B7" s="7" t="inlineStr">
        <is>
          <t>Spark Plug</t>
        </is>
      </c>
      <c r="C7" s="7" t="inlineStr">
        <is>
          <t>part_032_spark_plug.jpg</t>
        </is>
      </c>
      <c r="D7" s="7" t="inlineStr">
        <is>
          <t>Spark Plug</t>
        </is>
      </c>
      <c r="E7" s="7" t="inlineStr"/>
      <c r="F7" s="8">
        <f>HYPERLINK("https://www.global-ucars.com/product-detail.html?id=32","View Product #32")</f>
        <v/>
      </c>
      <c r="G7" s="9" t="inlineStr"/>
      <c r="H7" s="9" t="inlineStr"/>
      <c r="I7" s="9" t="inlineStr"/>
      <c r="J7" s="9" t="inlineStr"/>
      <c r="K7" s="7" t="inlineStr">
        <is>
          <t>Spark Plug wholesale OEM supplier China export — Engine System auto parts</t>
        </is>
      </c>
      <c r="L7" s="7" t="inlineStr">
        <is>
          <t>Spark Plug Wholesale China | Engine System Supplier — Kingma</t>
        </is>
      </c>
      <c r="M7" s="7" t="inlineStr">
        <is>
          <t>Buy Spark Plug wholesale from China. Precision-gapped spark plugs manufactured to OEM tolerances for reliable ignition in both naturally aspirated and turbochar</t>
        </is>
      </c>
    </row>
    <row r="8" ht="40" customHeight="1">
      <c r="A8" s="6" t="n">
        <v>33</v>
      </c>
      <c r="B8" s="7" t="inlineStr">
        <is>
          <t>Fuel Injector</t>
        </is>
      </c>
      <c r="C8" s="7" t="inlineStr">
        <is>
          <t>part_33.jpg</t>
        </is>
      </c>
      <c r="D8" s="7" t="inlineStr">
        <is>
          <t>Fuel Injector</t>
        </is>
      </c>
      <c r="E8" s="7" t="inlineStr"/>
      <c r="F8" s="8">
        <f>HYPERLINK("https://www.global-ucars.com/product-detail.html?id=33","View Product #33")</f>
        <v/>
      </c>
      <c r="G8" s="9" t="inlineStr"/>
      <c r="H8" s="9" t="inlineStr"/>
      <c r="I8" s="9" t="inlineStr"/>
      <c r="J8" s="9" t="inlineStr"/>
      <c r="K8" s="7" t="inlineStr">
        <is>
          <t>Fuel Injector wholesale OEM supplier China export — Engine System auto parts</t>
        </is>
      </c>
      <c r="L8" s="7" t="inlineStr">
        <is>
          <t>Fuel Injector Wholesale China | Engine System Supplier — Kin</t>
        </is>
      </c>
      <c r="M8" s="7" t="inlineStr">
        <is>
          <t>Buy Fuel Injector wholesale from China. High-flow fuel injectors engineered for precision atomization and consistent spray pattern across the full fuel pressure</t>
        </is>
      </c>
    </row>
    <row r="9" ht="40" customHeight="1">
      <c r="A9" s="6" t="n">
        <v>34</v>
      </c>
      <c r="B9" s="7" t="inlineStr">
        <is>
          <t>Fuel Pump</t>
        </is>
      </c>
      <c r="C9" s="7" t="inlineStr">
        <is>
          <t>part_034_fuel_pump.jpg</t>
        </is>
      </c>
      <c r="D9" s="7" t="inlineStr">
        <is>
          <t>Fuel Pump</t>
        </is>
      </c>
      <c r="E9" s="7" t="inlineStr"/>
      <c r="F9" s="8">
        <f>HYPERLINK("https://www.global-ucars.com/product-detail.html?id=34","View Product #34")</f>
        <v/>
      </c>
      <c r="G9" s="9" t="inlineStr"/>
      <c r="H9" s="9" t="inlineStr"/>
      <c r="I9" s="9" t="inlineStr"/>
      <c r="J9" s="9" t="inlineStr"/>
      <c r="K9" s="7" t="inlineStr">
        <is>
          <t>Fuel Pump wholesale OEM supplier China export — Engine System auto parts</t>
        </is>
      </c>
      <c r="L9" s="7" t="inlineStr">
        <is>
          <t>Fuel Pump Wholesale China | Engine System Supplier — Kingmay</t>
        </is>
      </c>
      <c r="M9" s="7" t="inlineStr">
        <is>
          <t>Buy Fuel Pump wholesale from China. Electric in-tank fuel pumps built to maintain stable fuel pressure across the full range of engine operating conditions. Eac</t>
        </is>
      </c>
    </row>
    <row r="10" ht="40" customHeight="1">
      <c r="A10" s="6" t="n">
        <v>35</v>
      </c>
      <c r="B10" s="7" t="inlineStr">
        <is>
          <t>Fuel Pump Assy</t>
        </is>
      </c>
      <c r="C10" s="7" t="inlineStr">
        <is>
          <t>part_35.jpg</t>
        </is>
      </c>
      <c r="D10" s="7" t="inlineStr">
        <is>
          <t>Fuel Pump Assembly</t>
        </is>
      </c>
      <c r="E10" s="7" t="inlineStr"/>
      <c r="F10" s="8">
        <f>HYPERLINK("https://www.global-ucars.com/product-detail.html?id=35","View Product #35")</f>
        <v/>
      </c>
      <c r="G10" s="9" t="inlineStr"/>
      <c r="H10" s="9" t="inlineStr"/>
      <c r="I10" s="9" t="inlineStr"/>
      <c r="J10" s="9" t="inlineStr"/>
      <c r="K10" s="7" t="inlineStr">
        <is>
          <t>Fuel Pump Assembly wholesale OEM supplier China export — Engine System auto parts</t>
        </is>
      </c>
      <c r="L10" s="7" t="inlineStr">
        <is>
          <t xml:space="preserve">Fuel Pump Assembly Wholesale China | Engine System Supplier </t>
        </is>
      </c>
      <c r="M10" s="7" t="inlineStr">
        <is>
          <t>Buy Fuel Pump Assembly wholesale from China. Complete in-tank fuel pump modules supplied as direct-fit assemblies including pump unit, sending unit (float &amp; res</t>
        </is>
      </c>
    </row>
    <row r="11" ht="40" customHeight="1">
      <c r="A11" s="6" t="n">
        <v>36</v>
      </c>
      <c r="B11" s="7" t="inlineStr">
        <is>
          <t>Throttle Body</t>
        </is>
      </c>
      <c r="C11" s="7" t="inlineStr">
        <is>
          <t>part_36.jpg</t>
        </is>
      </c>
      <c r="D11" s="7" t="inlineStr">
        <is>
          <t>Throttle Body</t>
        </is>
      </c>
      <c r="E11" s="7" t="inlineStr"/>
      <c r="F11" s="8">
        <f>HYPERLINK("https://www.global-ucars.com/product-detail.html?id=36","View Product #36")</f>
        <v/>
      </c>
      <c r="G11" s="9" t="inlineStr"/>
      <c r="H11" s="9" t="inlineStr"/>
      <c r="I11" s="9" t="inlineStr"/>
      <c r="J11" s="9" t="inlineStr"/>
      <c r="K11" s="7" t="inlineStr">
        <is>
          <t>Throttle Body wholesale OEM supplier China export — Engine System auto parts</t>
        </is>
      </c>
      <c r="L11" s="7" t="inlineStr">
        <is>
          <t>Throttle Body Wholesale China | Engine System Supplier — Kin</t>
        </is>
      </c>
      <c r="M11" s="7" t="inlineStr">
        <is>
          <t>Buy Throttle Body wholesale from China. Electronic throttle bodies (drive-by-wire) and cable-operated units manufactured to OEM bore diameter and airflow specif</t>
        </is>
      </c>
    </row>
    <row r="12" ht="40" customHeight="1">
      <c r="A12" s="6" t="n">
        <v>37</v>
      </c>
      <c r="B12" s="7" t="inlineStr">
        <is>
          <t>Engine Sealing</t>
        </is>
      </c>
      <c r="C12" s="7" t="inlineStr">
        <is>
          <t>part_037_cylinder_head_gasket.jpg</t>
        </is>
      </c>
      <c r="D12" s="7" t="inlineStr">
        <is>
          <t>Cylinder Head Gasket</t>
        </is>
      </c>
      <c r="E12" s="7" t="inlineStr"/>
      <c r="F12" s="8">
        <f>HYPERLINK("https://www.global-ucars.com/product-detail.html?id=37","View Product #37")</f>
        <v/>
      </c>
      <c r="G12" s="9" t="inlineStr"/>
      <c r="H12" s="9" t="inlineStr"/>
      <c r="I12" s="9" t="inlineStr"/>
      <c r="J12" s="9" t="inlineStr"/>
      <c r="K12" s="7" t="inlineStr">
        <is>
          <t>Cylinder Head Gasket wholesale OEM supplier China export — Engine System auto parts</t>
        </is>
      </c>
      <c r="L12" s="7" t="inlineStr">
        <is>
          <t>Cylinder Head Gasket Wholesale China | Engine System Supplie</t>
        </is>
      </c>
      <c r="M12" s="7" t="inlineStr">
        <is>
          <t>Buy Cylinder Head Gasket wholesale from China. Multi-layer steel (MLS) and composite cylinder head gaskets manufactured to tight bore and thickness tolerances f</t>
        </is>
      </c>
    </row>
    <row r="13" ht="40" customHeight="1">
      <c r="A13" s="6" t="n">
        <v>38</v>
      </c>
      <c r="B13" s="7" t="inlineStr">
        <is>
          <t>Engine Mount</t>
        </is>
      </c>
      <c r="C13" s="7" t="inlineStr">
        <is>
          <t>part_038_engine_mount.jpg</t>
        </is>
      </c>
      <c r="D13" s="7" t="inlineStr">
        <is>
          <t>Engine Mount</t>
        </is>
      </c>
      <c r="E13" s="7" t="inlineStr"/>
      <c r="F13" s="8">
        <f>HYPERLINK("https://www.global-ucars.com/product-detail.html?id=38","View Product #38")</f>
        <v/>
      </c>
      <c r="G13" s="9" t="inlineStr"/>
      <c r="H13" s="9" t="inlineStr"/>
      <c r="I13" s="9" t="inlineStr"/>
      <c r="J13" s="9" t="inlineStr"/>
      <c r="K13" s="7" t="inlineStr">
        <is>
          <t>Engine Mount wholesale OEM supplier China export — Engine System auto parts</t>
        </is>
      </c>
      <c r="L13" s="7" t="inlineStr">
        <is>
          <t>Engine Mount Wholesale China | Engine System Supplier — King</t>
        </is>
      </c>
      <c r="M13" s="7" t="inlineStr">
        <is>
          <t>Buy Engine Mount wholesale from China. Hydraulic and solid rubber engine mounts engineered to isolate drivetrain vibration from the vehicle body while maintaini</t>
        </is>
      </c>
    </row>
    <row r="14" ht="40" customHeight="1">
      <c r="A14" s="6" t="n">
        <v>39</v>
      </c>
      <c r="B14" s="7" t="inlineStr">
        <is>
          <t>Oxygen Sensor</t>
        </is>
      </c>
      <c r="C14" s="7" t="inlineStr">
        <is>
          <t>part_039_oxygen_sensor.jpg</t>
        </is>
      </c>
      <c r="D14" s="7" t="inlineStr">
        <is>
          <t>Oxygen Sensor (Lambda Sensor)</t>
        </is>
      </c>
      <c r="E14" s="7" t="inlineStr"/>
      <c r="F14" s="8">
        <f>HYPERLINK("https://www.global-ucars.com/product-detail.html?id=39","View Product #39")</f>
        <v/>
      </c>
      <c r="G14" s="9" t="inlineStr"/>
      <c r="H14" s="9" t="inlineStr"/>
      <c r="I14" s="9" t="inlineStr"/>
      <c r="J14" s="9" t="inlineStr"/>
      <c r="K14" s="7" t="inlineStr">
        <is>
          <t>Oxygen Sensor (Lambda Sensor) wholesale OEM supplier China export — Engine System auto parts</t>
        </is>
      </c>
      <c r="L14" s="7" t="inlineStr">
        <is>
          <t>Oxygen Sensor (Lambda Sensor) Wholesale China | Engine Syste</t>
        </is>
      </c>
      <c r="M14" s="7" t="inlineStr">
        <is>
          <t>Buy Oxygen Sensor (Lambda Sensor) wholesale from China. Wideband and narrowband oxygen sensors designed for direct OEM fitment or universal application with sup</t>
        </is>
      </c>
    </row>
    <row r="15" ht="40" customHeight="1">
      <c r="A15" s="6" t="n">
        <v>40</v>
      </c>
      <c r="B15" s="7" t="inlineStr">
        <is>
          <t>Vvt</t>
        </is>
      </c>
      <c r="C15" s="7" t="inlineStr">
        <is>
          <t>part_040_vvt_solenoid.jpg</t>
        </is>
      </c>
      <c r="D15" s="7" t="inlineStr">
        <is>
          <t>VVT Solenoid (Oil Control Valve)</t>
        </is>
      </c>
      <c r="E15" s="7" t="inlineStr"/>
      <c r="F15" s="8">
        <f>HYPERLINK("https://www.global-ucars.com/product-detail.html?id=40","View Product #40")</f>
        <v/>
      </c>
      <c r="G15" s="9" t="inlineStr"/>
      <c r="H15" s="9" t="inlineStr"/>
      <c r="I15" s="9" t="inlineStr"/>
      <c r="J15" s="9" t="inlineStr"/>
      <c r="K15" s="7" t="inlineStr">
        <is>
          <t>VVT Solenoid (Oil Control Valve) wholesale OEM supplier China export — Engine System auto parts</t>
        </is>
      </c>
      <c r="L15" s="7" t="inlineStr">
        <is>
          <t>VVT Solenoid (Oil Control Valve) Wholesale China | Engine Sy</t>
        </is>
      </c>
      <c r="M15" s="7" t="inlineStr">
        <is>
          <t>Buy VVT Solenoid (Oil Control Valve) wholesale from China. Variable valve timing (VVT) solenoids — also known as oil control valves (OCV) or cam phaser solenoid</t>
        </is>
      </c>
    </row>
    <row r="16" ht="40" customHeight="1">
      <c r="A16" s="6" t="n">
        <v>41</v>
      </c>
      <c r="B16" s="7" t="inlineStr">
        <is>
          <t>Pcv Valve</t>
        </is>
      </c>
      <c r="C16" s="7" t="inlineStr">
        <is>
          <t>part_041_pcv_valve.jpg</t>
        </is>
      </c>
      <c r="D16" s="7" t="inlineStr">
        <is>
          <t>PCV Valve</t>
        </is>
      </c>
      <c r="E16" s="7" t="inlineStr"/>
      <c r="F16" s="8">
        <f>HYPERLINK("https://www.global-ucars.com/product-detail.html?id=41","View Product #41")</f>
        <v/>
      </c>
      <c r="G16" s="9" t="inlineStr"/>
      <c r="H16" s="9" t="inlineStr"/>
      <c r="I16" s="9" t="inlineStr"/>
      <c r="J16" s="9" t="inlineStr"/>
      <c r="K16" s="7" t="inlineStr">
        <is>
          <t>PCV Valve wholesale OEM supplier China export — Engine System auto parts</t>
        </is>
      </c>
      <c r="L16" s="7" t="inlineStr">
        <is>
          <t>PCV Valve Wholesale China | Engine System Supplier — Kingmay</t>
        </is>
      </c>
      <c r="M16" s="7" t="inlineStr">
        <is>
          <t>Buy PCV Valve wholesale from China. Positive crankcase ventilation (PCV) valves maintain precise crankcase pressure by metering blow-by gas flow back to the int</t>
        </is>
      </c>
    </row>
    <row r="17" ht="40" customHeight="1">
      <c r="A17" s="6" t="n">
        <v>42</v>
      </c>
      <c r="B17" s="7" t="inlineStr">
        <is>
          <t>Fuel Metering Valve</t>
        </is>
      </c>
      <c r="C17" s="7" t="inlineStr">
        <is>
          <t>part_042_fuel_metering_valve_manufact.jpg</t>
        </is>
      </c>
      <c r="D17" s="7" t="inlineStr">
        <is>
          <t>Fuel Pressure Regulator</t>
        </is>
      </c>
      <c r="E17" s="7" t="inlineStr"/>
      <c r="F17" s="8">
        <f>HYPERLINK("https://www.global-ucars.com/product-detail.html?id=42","View Product #42")</f>
        <v/>
      </c>
      <c r="G17" s="9" t="inlineStr"/>
      <c r="H17" s="9" t="inlineStr"/>
      <c r="I17" s="9" t="inlineStr"/>
      <c r="J17" s="9" t="inlineStr"/>
      <c r="K17" s="7" t="inlineStr">
        <is>
          <t>Fuel Pressure Regulator wholesale OEM supplier China export — Engine System auto parts</t>
        </is>
      </c>
      <c r="L17" s="7" t="inlineStr">
        <is>
          <t>Fuel Pressure Regulator Wholesale China | Engine System Supp</t>
        </is>
      </c>
      <c r="M17" s="7" t="inlineStr">
        <is>
          <t>Buy Fuel Pressure Regulator wholesale from China. Mechanical and electronic fuel pressure regulators designed to maintain a stable fuel rail pressure differenti</t>
        </is>
      </c>
    </row>
    <row r="18" ht="40" customHeight="1">
      <c r="A18" s="6" t="n">
        <v>43</v>
      </c>
      <c r="B18" s="7" t="inlineStr">
        <is>
          <t>Ignition Wire</t>
        </is>
      </c>
      <c r="C18" s="7" t="inlineStr">
        <is>
          <t>part_43.jpg</t>
        </is>
      </c>
      <c r="D18" s="7" t="inlineStr">
        <is>
          <t>Ignition Wire Set</t>
        </is>
      </c>
      <c r="E18" s="7" t="inlineStr"/>
      <c r="F18" s="8">
        <f>HYPERLINK("https://www.global-ucars.com/product-detail.html?id=43","View Product #43")</f>
        <v/>
      </c>
      <c r="G18" s="9" t="inlineStr"/>
      <c r="H18" s="9" t="inlineStr"/>
      <c r="I18" s="9" t="inlineStr"/>
      <c r="J18" s="9" t="inlineStr"/>
      <c r="K18" s="7" t="inlineStr">
        <is>
          <t>Ignition Wire Set wholesale OEM supplier China export — Engine System auto parts</t>
        </is>
      </c>
      <c r="L18" s="7" t="inlineStr">
        <is>
          <t>Ignition Wire Set Wholesale China | Engine System Supplier —</t>
        </is>
      </c>
      <c r="M18" s="7" t="inlineStr">
        <is>
          <t xml:space="preserve">Buy Ignition Wire Set wholesale from China. High-tension ignition wire sets featuring spiral-wound suppression cores that minimise radio frequency interference </t>
        </is>
      </c>
    </row>
    <row r="19" ht="40" customHeight="1">
      <c r="A19" s="6" t="n">
        <v>44</v>
      </c>
      <c r="B19" s="7" t="inlineStr">
        <is>
          <t>Piston</t>
        </is>
      </c>
      <c r="C19" s="7" t="inlineStr">
        <is>
          <t>part_44.jpg</t>
        </is>
      </c>
      <c r="D19" s="7" t="inlineStr">
        <is>
          <t>Piston</t>
        </is>
      </c>
      <c r="E19" s="7" t="inlineStr"/>
      <c r="F19" s="8">
        <f>HYPERLINK("https://www.global-ucars.com/product-detail.html?id=44","View Product #44")</f>
        <v/>
      </c>
      <c r="G19" s="9" t="inlineStr"/>
      <c r="H19" s="9" t="inlineStr"/>
      <c r="I19" s="9" t="inlineStr"/>
      <c r="J19" s="9" t="inlineStr"/>
      <c r="K19" s="7" t="inlineStr">
        <is>
          <t>Piston wholesale OEM supplier China export — Engine System auto parts</t>
        </is>
      </c>
      <c r="L19" s="7" t="inlineStr">
        <is>
          <t>Piston Wholesale China | Engine System Supplier — Kingmay</t>
        </is>
      </c>
      <c r="M19" s="7" t="inlineStr">
        <is>
          <t>Buy Piston wholesale from China. Aluminum alloy pistons forged or cast to OEM bore dimensions and crown geometry. Forged pistons offer superior strength-to-weig</t>
        </is>
      </c>
    </row>
    <row r="20" ht="40" customHeight="1">
      <c r="A20" s="6" t="n">
        <v>45</v>
      </c>
      <c r="B20" s="7" t="inlineStr">
        <is>
          <t>Engine Internals</t>
        </is>
      </c>
      <c r="C20" s="7" t="inlineStr">
        <is>
          <t>part_045_camshaft.jpg</t>
        </is>
      </c>
      <c r="D20" s="7" t="inlineStr">
        <is>
          <t>Camshaft</t>
        </is>
      </c>
      <c r="E20" s="7" t="inlineStr"/>
      <c r="F20" s="8">
        <f>HYPERLINK("https://www.global-ucars.com/product-detail.html?id=45","View Product #45")</f>
        <v/>
      </c>
      <c r="G20" s="9" t="inlineStr"/>
      <c r="H20" s="9" t="inlineStr"/>
      <c r="I20" s="9" t="inlineStr"/>
      <c r="J20" s="9" t="inlineStr"/>
      <c r="K20" s="7" t="inlineStr">
        <is>
          <t>Camshaft wholesale OEM supplier China export — Engine System auto parts</t>
        </is>
      </c>
      <c r="L20" s="7" t="inlineStr">
        <is>
          <t>Camshaft Wholesale China | Engine System Supplier — Kingmay</t>
        </is>
      </c>
      <c r="M20" s="7" t="inlineStr">
        <is>
          <t>Buy Camshaft wholesale from China. Precision-ground camshafts manufactured from chilled cast iron or billet steel, with lobe profiles matched to OEM lift, durat</t>
        </is>
      </c>
    </row>
    <row r="21" ht="40" customHeight="1">
      <c r="A21" s="6" t="n">
        <v>56</v>
      </c>
      <c r="B21" s="7" t="inlineStr">
        <is>
          <t>Crankshaft Sensor</t>
        </is>
      </c>
      <c r="C21" s="7" t="inlineStr">
        <is>
          <t>part_056_crankshaft_sensor.jpg</t>
        </is>
      </c>
      <c r="D21" s="7" t="inlineStr">
        <is>
          <t>Crankshaft Position Sensor</t>
        </is>
      </c>
      <c r="E21" s="7" t="inlineStr"/>
      <c r="F21" s="8">
        <f>HYPERLINK("https://www.global-ucars.com/product-detail.html?id=56","View Product #56")</f>
        <v/>
      </c>
      <c r="G21" s="9" t="inlineStr"/>
      <c r="H21" s="9" t="inlineStr"/>
      <c r="I21" s="9" t="inlineStr"/>
      <c r="J21" s="9" t="inlineStr"/>
      <c r="K21" s="7" t="inlineStr">
        <is>
          <t>Crankshaft Position Sensor wholesale OEM supplier China export — Cooling System auto parts</t>
        </is>
      </c>
      <c r="L21" s="7" t="inlineStr">
        <is>
          <t xml:space="preserve">Crankshaft Position Sensor Wholesale China | Cooling System </t>
        </is>
      </c>
      <c r="M21" s="7" t="inlineStr">
        <is>
          <t>Buy Crankshaft Position Sensor wholesale from China. Hall-effect and variable reluctance crankshaft position (CKP) sensors providing the ECU with precise cranks</t>
        </is>
      </c>
    </row>
    <row r="22" ht="40" customHeight="1">
      <c r="A22" s="6" t="n">
        <v>57</v>
      </c>
      <c r="B22" s="7" t="inlineStr">
        <is>
          <t>Camshaft Sensor</t>
        </is>
      </c>
      <c r="C22" s="7" t="inlineStr">
        <is>
          <t>part_057_camshaft_sensor.jpg</t>
        </is>
      </c>
      <c r="D22" s="7" t="inlineStr">
        <is>
          <t>Camshaft Position Sensor</t>
        </is>
      </c>
      <c r="E22" s="7" t="inlineStr"/>
      <c r="F22" s="8">
        <f>HYPERLINK("https://www.global-ucars.com/product-detail.html?id=57","View Product #57")</f>
        <v/>
      </c>
      <c r="G22" s="9" t="inlineStr"/>
      <c r="H22" s="9" t="inlineStr"/>
      <c r="I22" s="9" t="inlineStr"/>
      <c r="J22" s="9" t="inlineStr"/>
      <c r="K22" s="7" t="inlineStr">
        <is>
          <t>Camshaft Position Sensor wholesale OEM supplier China export — Cooling System auto parts</t>
        </is>
      </c>
      <c r="L22" s="7" t="inlineStr">
        <is>
          <t>Camshaft Position Sensor Wholesale China | Cooling System Su</t>
        </is>
      </c>
      <c r="M22" s="7" t="inlineStr">
        <is>
          <t>Buy Camshaft Position Sensor wholesale from China. Hall-effect camshaft position (CMP) sensors used by the ECU to identify cylinder phase (TDC position) for seq</t>
        </is>
      </c>
    </row>
    <row r="23" ht="40" customHeight="1">
      <c r="A23" s="6" t="n">
        <v>58</v>
      </c>
      <c r="B23" s="7" t="inlineStr">
        <is>
          <t>Maf Sensor</t>
        </is>
      </c>
      <c r="C23" s="7" t="inlineStr">
        <is>
          <t>part_058_maf_sensor.jpg</t>
        </is>
      </c>
      <c r="D23" s="7" t="inlineStr">
        <is>
          <t>Mass Air Flow Sensor</t>
        </is>
      </c>
      <c r="E23" s="7" t="inlineStr"/>
      <c r="F23" s="8">
        <f>HYPERLINK("https://www.global-ucars.com/product-detail.html?id=58","View Product #58")</f>
        <v/>
      </c>
      <c r="G23" s="9" t="inlineStr"/>
      <c r="H23" s="9" t="inlineStr"/>
      <c r="I23" s="9" t="inlineStr"/>
      <c r="J23" s="9" t="inlineStr"/>
      <c r="K23" s="7" t="inlineStr">
        <is>
          <t>Mass Air Flow Sensor wholesale OEM supplier China export — Cooling System auto parts</t>
        </is>
      </c>
      <c r="L23" s="7" t="inlineStr">
        <is>
          <t>Mass Air Flow Sensor Wholesale China | Cooling System Suppli</t>
        </is>
      </c>
      <c r="M23" s="7" t="inlineStr">
        <is>
          <t xml:space="preserve">Buy Mass Air Flow Sensor wholesale from China. Hot-wire and hot-film mass air flow (MAF) sensors for accurate volumetric air metering in speed-density and mass </t>
        </is>
      </c>
    </row>
    <row r="24" ht="40" customHeight="1">
      <c r="A24" s="6" t="n">
        <v>59</v>
      </c>
      <c r="B24" s="7" t="inlineStr">
        <is>
          <t>Map Sensor</t>
        </is>
      </c>
      <c r="C24" s="7" t="inlineStr">
        <is>
          <t>part_059_map_sensor.jpg</t>
        </is>
      </c>
      <c r="D24" s="7" t="inlineStr">
        <is>
          <t>MAP Sensor</t>
        </is>
      </c>
      <c r="E24" s="7" t="inlineStr"/>
      <c r="F24" s="8">
        <f>HYPERLINK("https://www.global-ucars.com/product-detail.html?id=59","View Product #59")</f>
        <v/>
      </c>
      <c r="G24" s="9" t="inlineStr"/>
      <c r="H24" s="9" t="inlineStr"/>
      <c r="I24" s="9" t="inlineStr"/>
      <c r="J24" s="9" t="inlineStr"/>
      <c r="K24" s="7" t="inlineStr">
        <is>
          <t>MAP Sensor wholesale OEM supplier China export — Cooling System auto parts</t>
        </is>
      </c>
      <c r="L24" s="7" t="inlineStr">
        <is>
          <t>MAP Sensor Wholesale China | Cooling System Supplier — Kingm</t>
        </is>
      </c>
      <c r="M24" s="7" t="inlineStr">
        <is>
          <t>Buy MAP Sensor wholesale from China. Manifold absolute pressure (MAP) sensors providing the ECU with real-time intake manifold pressure data for load calculatio</t>
        </is>
      </c>
    </row>
    <row r="25" ht="40" customHeight="1">
      <c r="A25" s="6" t="n">
        <v>60</v>
      </c>
      <c r="B25" s="7" t="inlineStr">
        <is>
          <t>Oil Pressure Sensor</t>
        </is>
      </c>
      <c r="C25" s="7" t="inlineStr">
        <is>
          <t>part_060_oil_pressure_sensor.jpg</t>
        </is>
      </c>
      <c r="D25" s="7" t="inlineStr">
        <is>
          <t>Oil Pressure Sensor</t>
        </is>
      </c>
      <c r="E25" s="7" t="inlineStr"/>
      <c r="F25" s="8">
        <f>HYPERLINK("https://www.global-ucars.com/product-detail.html?id=60","View Product #60")</f>
        <v/>
      </c>
      <c r="G25" s="9" t="inlineStr"/>
      <c r="H25" s="9" t="inlineStr"/>
      <c r="I25" s="9" t="inlineStr"/>
      <c r="J25" s="9" t="inlineStr"/>
      <c r="K25" s="7" t="inlineStr">
        <is>
          <t>Oil Pressure Sensor wholesale OEM supplier China export — Cooling System auto parts</t>
        </is>
      </c>
      <c r="L25" s="7" t="inlineStr">
        <is>
          <t>Oil Pressure Sensor Wholesale China | Cooling System Supplie</t>
        </is>
      </c>
      <c r="M25" s="7" t="inlineStr">
        <is>
          <t>Buy Oil Pressure Sensor wholesale from China. Engine oil pressure sensors (sender units) for both warning-lamp switching and gauge-compatible analogue output. W</t>
        </is>
      </c>
    </row>
    <row r="26" ht="40" customHeight="1">
      <c r="A26" s="6" t="n">
        <v>70</v>
      </c>
      <c r="B26" s="7" t="inlineStr">
        <is>
          <t>Oil Pressure Sensor</t>
        </is>
      </c>
      <c r="C26" s="7" t="inlineStr">
        <is>
          <t>part_070_oil_pressure_sensor.jpg</t>
        </is>
      </c>
      <c r="D26" s="7" t="inlineStr">
        <is>
          <t>Oil Pressure Sending Unit</t>
        </is>
      </c>
      <c r="E26" s="7" t="inlineStr"/>
      <c r="F26" s="8">
        <f>HYPERLINK("https://www.global-ucars.com/product-detail.html?id=70","View Product #70")</f>
        <v/>
      </c>
      <c r="G26" s="9" t="inlineStr"/>
      <c r="H26" s="9" t="inlineStr"/>
      <c r="I26" s="9" t="inlineStr"/>
      <c r="J26" s="9" t="inlineStr"/>
      <c r="K26" s="7" t="inlineStr">
        <is>
          <t>Oil Pressure Sending Unit wholesale OEM supplier China export — Suspension &amp; Steering System auto parts</t>
        </is>
      </c>
      <c r="L26" s="7" t="inlineStr">
        <is>
          <t>Oil Pressure Sending Unit Wholesale China | Suspension &amp; Ste</t>
        </is>
      </c>
      <c r="M26" s="7" t="inlineStr">
        <is>
          <t xml:space="preserve">Buy Oil Pressure Sending Unit wholesale from China. Electrical oil pressure sending units providing an analogue resistance signal to the instrument cluster oil </t>
        </is>
      </c>
    </row>
    <row r="27" ht="40" customHeight="1">
      <c r="A27" s="6" t="n">
        <v>71</v>
      </c>
      <c r="B27" s="7" t="inlineStr">
        <is>
          <t>Throttle Position Sensor</t>
        </is>
      </c>
      <c r="C27" s="7" t="inlineStr">
        <is>
          <t>part_071_throttle_position_sensor.jpg</t>
        </is>
      </c>
      <c r="D27" s="7" t="inlineStr">
        <is>
          <t>Throttle Position Sensor (TPS)</t>
        </is>
      </c>
      <c r="E27" s="7" t="inlineStr"/>
      <c r="F27" s="8">
        <f>HYPERLINK("https://www.global-ucars.com/product-detail.html?id=71","View Product #71")</f>
        <v/>
      </c>
      <c r="G27" s="9" t="inlineStr"/>
      <c r="H27" s="9" t="inlineStr"/>
      <c r="I27" s="9" t="inlineStr"/>
      <c r="J27" s="9" t="inlineStr"/>
      <c r="K27" s="7" t="inlineStr">
        <is>
          <t>Throttle Position Sensor (TPS) wholesale OEM supplier China export — Suspension &amp; Steering System auto parts</t>
        </is>
      </c>
      <c r="L27" s="7" t="inlineStr">
        <is>
          <t xml:space="preserve">Throttle Position Sensor (TPS) Wholesale China | Suspension </t>
        </is>
      </c>
      <c r="M27" s="7" t="inlineStr">
        <is>
          <t>Buy Throttle Position Sensor (TPS) wholesale from China. Throttle position sensors supplying the ECU with a precise voltage signal corresponding to throttle pla</t>
        </is>
      </c>
    </row>
    <row r="28" ht="40" customHeight="1">
      <c r="A28" s="6" t="n">
        <v>74</v>
      </c>
      <c r="B28" s="7" t="inlineStr">
        <is>
          <t>Knock Sensor</t>
        </is>
      </c>
      <c r="C28" s="7" t="inlineStr">
        <is>
          <t>part_074_knock_sensor.jpg</t>
        </is>
      </c>
      <c r="D28" s="7" t="inlineStr">
        <is>
          <t>Knock Sensor</t>
        </is>
      </c>
      <c r="E28" s="7" t="inlineStr"/>
      <c r="F28" s="8">
        <f>HYPERLINK("https://www.global-ucars.com/product-detail.html?id=74","View Product #74")</f>
        <v/>
      </c>
      <c r="G28" s="9" t="inlineStr"/>
      <c r="H28" s="9" t="inlineStr"/>
      <c r="I28" s="9" t="inlineStr"/>
      <c r="J28" s="9" t="inlineStr"/>
      <c r="K28" s="7" t="inlineStr">
        <is>
          <t>Knock Sensor wholesale OEM supplier China export — Suspension &amp; Steering System auto parts</t>
        </is>
      </c>
      <c r="L28" s="7" t="inlineStr">
        <is>
          <t>Knock Sensor Wholesale China | Suspension &amp; Steering Supplie</t>
        </is>
      </c>
      <c r="M28" s="7" t="inlineStr">
        <is>
          <t>Buy Knock Sensor wholesale from China. Piezoelectric knock (detonation) sensors mounted on the engine block to detect combustion knock frequencies (typically 6–</t>
        </is>
      </c>
    </row>
    <row r="29" ht="40" customHeight="1">
      <c r="A29" s="6" t="n">
        <v>81</v>
      </c>
      <c r="B29" s="7" t="inlineStr">
        <is>
          <t>Crankshaft Sensor</t>
        </is>
      </c>
      <c r="C29" s="7" t="inlineStr">
        <is>
          <t>part_081_crankshaft_sensor.jpg</t>
        </is>
      </c>
      <c r="D29" s="7" t="inlineStr">
        <is>
          <t>Crankshaft Sensor</t>
        </is>
      </c>
      <c r="E29" s="7" t="inlineStr"/>
      <c r="F29" s="8">
        <f>HYPERLINK("https://www.global-ucars.com/product-detail.html?id=81","View Product #81")</f>
        <v/>
      </c>
      <c r="G29" s="9" t="inlineStr"/>
      <c r="H29" s="9" t="inlineStr"/>
      <c r="I29" s="9" t="inlineStr"/>
      <c r="J29" s="9" t="inlineStr"/>
      <c r="K29" s="7" t="inlineStr">
        <is>
          <t>Crankshaft Sensor wholesale OEM supplier China export — Electrical System auto parts</t>
        </is>
      </c>
      <c r="L29" s="7" t="inlineStr">
        <is>
          <t>Crankshaft Sensor Wholesale China | Electrical System Suppli</t>
        </is>
      </c>
      <c r="M29" s="7" t="inlineStr">
        <is>
          <t>Buy Crankshaft Sensor wholesale from China. Hall-effect crankshaft position sensor for sequential injection and direct ignition timing. Precision-moulded sensor</t>
        </is>
      </c>
    </row>
    <row r="30" ht="40" customHeight="1">
      <c r="A30" s="6" t="n">
        <v>82</v>
      </c>
      <c r="B30" s="7" t="inlineStr">
        <is>
          <t>Camshaft Sensor</t>
        </is>
      </c>
      <c r="C30" s="7" t="inlineStr">
        <is>
          <t>part_082_camshaft_sensor.jpg</t>
        </is>
      </c>
      <c r="D30" s="7" t="inlineStr">
        <is>
          <t>Camshaft Sensor</t>
        </is>
      </c>
      <c r="E30" s="7" t="inlineStr"/>
      <c r="F30" s="8">
        <f>HYPERLINK("https://www.global-ucars.com/product-detail.html?id=82","View Product #82")</f>
        <v/>
      </c>
      <c r="G30" s="9" t="inlineStr"/>
      <c r="H30" s="9" t="inlineStr"/>
      <c r="I30" s="9" t="inlineStr"/>
      <c r="J30" s="9" t="inlineStr"/>
      <c r="K30" s="7" t="inlineStr">
        <is>
          <t>Camshaft Sensor wholesale OEM supplier China export — Electrical System auto parts</t>
        </is>
      </c>
      <c r="L30" s="7" t="inlineStr">
        <is>
          <t>Camshaft Sensor Wholesale China | Electrical System Supplier</t>
        </is>
      </c>
      <c r="M30" s="7" t="inlineStr">
        <is>
          <t>Buy Camshaft Sensor wholesale from China. Hall-effect camshaft position sensor for VVT phase identification and sequential fuel injection. IP67 sealed connector</t>
        </is>
      </c>
    </row>
    <row r="31" ht="40" customHeight="1">
      <c r="A31" s="6" t="n">
        <v>83</v>
      </c>
      <c r="B31" s="7" t="inlineStr">
        <is>
          <t>Maf Sensor</t>
        </is>
      </c>
      <c r="C31" s="7" t="inlineStr">
        <is>
          <t>part_083_maf_sensor.jpg</t>
        </is>
      </c>
      <c r="D31" s="7" t="inlineStr">
        <is>
          <t>MAF Sensor</t>
        </is>
      </c>
      <c r="E31" s="7" t="inlineStr"/>
      <c r="F31" s="8">
        <f>HYPERLINK("https://www.global-ucars.com/product-detail.html?id=83","View Product #83")</f>
        <v/>
      </c>
      <c r="G31" s="9" t="inlineStr"/>
      <c r="H31" s="9" t="inlineStr"/>
      <c r="I31" s="9" t="inlineStr"/>
      <c r="J31" s="9" t="inlineStr"/>
      <c r="K31" s="7" t="inlineStr">
        <is>
          <t>MAF Sensor wholesale OEM supplier China export — Electrical System auto parts</t>
        </is>
      </c>
      <c r="L31" s="7" t="inlineStr">
        <is>
          <t>MAF Sensor Wholesale China | Electrical System Supplier — Ki</t>
        </is>
      </c>
      <c r="M31" s="7" t="inlineStr">
        <is>
          <t>Buy MAF Sensor wholesale from China. Replacement hot-wire mass air flow sensor for MAP-less speed-density systems. Thin-film sensing element ensures fast respon</t>
        </is>
      </c>
    </row>
    <row r="32" ht="40" customHeight="1">
      <c r="A32" s="6" t="n">
        <v>84</v>
      </c>
      <c r="B32" s="7" t="inlineStr">
        <is>
          <t>Map Sensor</t>
        </is>
      </c>
      <c r="C32" s="7" t="inlineStr">
        <is>
          <t>part_084_map_sensor.jpg</t>
        </is>
      </c>
      <c r="D32" s="7" t="inlineStr">
        <is>
          <t>MAP Sensor</t>
        </is>
      </c>
      <c r="E32" s="7" t="inlineStr"/>
      <c r="F32" s="8">
        <f>HYPERLINK("https://www.global-ucars.com/product-detail.html?id=84","View Product #84")</f>
        <v/>
      </c>
      <c r="G32" s="9" t="inlineStr"/>
      <c r="H32" s="9" t="inlineStr"/>
      <c r="I32" s="9" t="inlineStr"/>
      <c r="J32" s="9" t="inlineStr"/>
      <c r="K32" s="7" t="inlineStr">
        <is>
          <t>MAP Sensor wholesale OEM supplier China export — Electrical System auto parts</t>
        </is>
      </c>
      <c r="L32" s="7" t="inlineStr">
        <is>
          <t>MAP Sensor Wholesale China | Electrical System Supplier — Ki</t>
        </is>
      </c>
      <c r="M32" s="7" t="inlineStr">
        <is>
          <t>Buy MAP Sensor wholesale from China. Manifold absolute pressure sensor with piezoresistive silicon element, 0.5–4.5V ratiometric output. Covers NA (1 bar), turb</t>
        </is>
      </c>
    </row>
    <row r="33" ht="40" customHeight="1">
      <c r="A33" s="6" t="n">
        <v>85</v>
      </c>
      <c r="B33" s="7" t="inlineStr">
        <is>
          <t>Oil Pressure Sensor</t>
        </is>
      </c>
      <c r="C33" s="7" t="inlineStr">
        <is>
          <t>part_085_oil_pressure_sensor.jpg</t>
        </is>
      </c>
      <c r="D33" s="7" t="inlineStr">
        <is>
          <t>Oil Pressure Switch</t>
        </is>
      </c>
      <c r="E33" s="7" t="inlineStr"/>
      <c r="F33" s="8">
        <f>HYPERLINK("https://www.global-ucars.com/product-detail.html?id=85","View Product #85")</f>
        <v/>
      </c>
      <c r="G33" s="9" t="inlineStr"/>
      <c r="H33" s="9" t="inlineStr"/>
      <c r="I33" s="9" t="inlineStr"/>
      <c r="J33" s="9" t="inlineStr"/>
      <c r="K33" s="7" t="inlineStr">
        <is>
          <t>Oil Pressure Switch wholesale OEM supplier China export — Electrical System auto parts</t>
        </is>
      </c>
      <c r="L33" s="7" t="inlineStr">
        <is>
          <t>Oil Pressure Switch Wholesale China | Electrical System Supp</t>
        </is>
      </c>
      <c r="M33" s="7" t="inlineStr">
        <is>
          <t>Buy Oil Pressure Switch wholesale from China. Low oil pressure warning switch with stainless diaphragm, pre-applied PTFE thread sealant. Opens circuit (or close</t>
        </is>
      </c>
    </row>
    <row r="34" ht="40" customHeight="1">
      <c r="A34" s="6" t="n">
        <v>86</v>
      </c>
      <c r="B34" s="7" t="inlineStr">
        <is>
          <t>Throttle Position Sensor</t>
        </is>
      </c>
      <c r="C34" s="7" t="inlineStr">
        <is>
          <t>part_086_throttle_position_sensor.jpg</t>
        </is>
      </c>
      <c r="D34" s="7" t="inlineStr">
        <is>
          <t>Throttle Position Sensor</t>
        </is>
      </c>
      <c r="E34" s="7" t="inlineStr"/>
      <c r="F34" s="8">
        <f>HYPERLINK("https://www.global-ucars.com/product-detail.html?id=86","View Product #86")</f>
        <v/>
      </c>
      <c r="G34" s="9" t="inlineStr"/>
      <c r="H34" s="9" t="inlineStr"/>
      <c r="I34" s="9" t="inlineStr"/>
      <c r="J34" s="9" t="inlineStr"/>
      <c r="K34" s="7" t="inlineStr">
        <is>
          <t>Throttle Position Sensor wholesale OEM supplier China export — Electrical System auto parts</t>
        </is>
      </c>
      <c r="L34" s="7" t="inlineStr">
        <is>
          <t>Throttle Position Sensor Wholesale China | Electrical System</t>
        </is>
      </c>
      <c r="M34" s="7" t="inlineStr">
        <is>
          <t>Buy Throttle Position Sensor wholesale from China. Resistive-element TPS with gold-alloy wiper contacts calibrated to ±1.5% linearity over 0.5–4.5V output range</t>
        </is>
      </c>
    </row>
    <row r="35" ht="40" customHeight="1">
      <c r="A35" s="6" t="n">
        <v>87</v>
      </c>
      <c r="B35" s="7" t="inlineStr">
        <is>
          <t>Knock Sensor</t>
        </is>
      </c>
      <c r="C35" s="7" t="inlineStr">
        <is>
          <t>part_87.jpg</t>
        </is>
      </c>
      <c r="D35" s="7" t="inlineStr">
        <is>
          <t>Knock Sensor</t>
        </is>
      </c>
      <c r="E35" s="7" t="inlineStr"/>
      <c r="F35" s="8">
        <f>HYPERLINK("https://www.global-ucars.com/product-detail.html?id=87","View Product #87")</f>
        <v/>
      </c>
      <c r="G35" s="9" t="inlineStr"/>
      <c r="H35" s="9" t="inlineStr"/>
      <c r="I35" s="9" t="inlineStr"/>
      <c r="J35" s="9" t="inlineStr"/>
      <c r="K35" s="7" t="inlineStr">
        <is>
          <t>Knock Sensor wholesale OEM supplier China export — Electrical System auto parts</t>
        </is>
      </c>
      <c r="L35" s="7" t="inlineStr">
        <is>
          <t xml:space="preserve">Knock Sensor Wholesale China | Electrical System Supplier — </t>
        </is>
      </c>
      <c r="M35" s="7" t="inlineStr">
        <is>
          <t>Buy Knock Sensor wholesale from China. Piezoelectric knock sensor with flat-response element for broadband detonation detection (5–18 kHz). Allows ECU to retard</t>
        </is>
      </c>
    </row>
    <row r="36" ht="40" customHeight="1">
      <c r="A36" s="6" t="n">
        <v>88</v>
      </c>
      <c r="B36" s="7" t="inlineStr">
        <is>
          <t>Oxygen Sensor</t>
        </is>
      </c>
      <c r="C36" s="7" t="inlineStr">
        <is>
          <t>part_088_oxygen_sensor.jpg</t>
        </is>
      </c>
      <c r="D36" s="7" t="inlineStr">
        <is>
          <t>Oxygen Sensor</t>
        </is>
      </c>
      <c r="E36" s="7" t="inlineStr"/>
      <c r="F36" s="8">
        <f>HYPERLINK("https://www.global-ucars.com/product-detail.html?id=88","View Product #88")</f>
        <v/>
      </c>
      <c r="G36" s="9" t="inlineStr"/>
      <c r="H36" s="9" t="inlineStr"/>
      <c r="I36" s="9" t="inlineStr"/>
      <c r="J36" s="9" t="inlineStr"/>
      <c r="K36" s="7" t="inlineStr">
        <is>
          <t>Oxygen Sensor wholesale OEM supplier China export — Electrical System auto parts</t>
        </is>
      </c>
      <c r="L36" s="7" t="inlineStr">
        <is>
          <t>Oxygen Sensor Wholesale China | Electrical System Supplier —</t>
        </is>
      </c>
      <c r="M36" s="7" t="inlineStr">
        <is>
          <t>Buy Oxygen Sensor wholesale from China. Narrowband zirconia O2 sensor for upstream (pre-cat) and downstream (post-cat) positions. 4-wire heated design ensures f</t>
        </is>
      </c>
    </row>
    <row r="37" ht="22" customHeight="1">
      <c r="A37" s="5" t="inlineStr">
        <is>
          <t>🔵 Cooling System (11 parts)</t>
        </is>
      </c>
    </row>
    <row r="38" ht="40" customHeight="1">
      <c r="A38" s="6" t="n">
        <v>46</v>
      </c>
      <c r="B38" s="7" t="inlineStr">
        <is>
          <t>Water Pump</t>
        </is>
      </c>
      <c r="C38" s="7" t="inlineStr">
        <is>
          <t>part_46.jpg</t>
        </is>
      </c>
      <c r="D38" s="7" t="inlineStr">
        <is>
          <t>Water Pump</t>
        </is>
      </c>
      <c r="E38" s="7" t="inlineStr"/>
      <c r="F38" s="8">
        <f>HYPERLINK("https://www.global-ucars.com/product-detail.html?id=46","View Product #46")</f>
        <v/>
      </c>
      <c r="G38" s="9" t="inlineStr"/>
      <c r="H38" s="9" t="inlineStr"/>
      <c r="I38" s="9" t="inlineStr"/>
      <c r="J38" s="9" t="inlineStr"/>
      <c r="K38" s="7" t="inlineStr">
        <is>
          <t>Water Pump wholesale OEM supplier China export — Cooling System auto parts</t>
        </is>
      </c>
      <c r="L38" s="7" t="inlineStr">
        <is>
          <t>Water Pump Wholesale China | Cooling System Supplier — Kingm</t>
        </is>
      </c>
      <c r="M38" s="7" t="inlineStr">
        <is>
          <t>Buy Water Pump wholesale from China. Mechanical engine water pumps built for reliable coolant circulation in both petrol and diesel engines. Pump housing is cas</t>
        </is>
      </c>
    </row>
    <row r="39" ht="40" customHeight="1">
      <c r="A39" s="6" t="n">
        <v>47</v>
      </c>
      <c r="B39" s="7" t="inlineStr">
        <is>
          <t>Radiator Fan Assy</t>
        </is>
      </c>
      <c r="C39" s="7" t="inlineStr">
        <is>
          <t>part_047_radiator_fan_assembly.jpg</t>
        </is>
      </c>
      <c r="D39" s="7" t="inlineStr">
        <is>
          <t>Radiator Fan Assembly</t>
        </is>
      </c>
      <c r="E39" s="7" t="inlineStr"/>
      <c r="F39" s="8">
        <f>HYPERLINK("https://www.global-ucars.com/product-detail.html?id=47","View Product #47")</f>
        <v/>
      </c>
      <c r="G39" s="9" t="inlineStr"/>
      <c r="H39" s="9" t="inlineStr"/>
      <c r="I39" s="9" t="inlineStr"/>
      <c r="J39" s="9" t="inlineStr"/>
      <c r="K39" s="7" t="inlineStr">
        <is>
          <t>Radiator Fan Assembly wholesale OEM supplier China export — Cooling System auto parts</t>
        </is>
      </c>
      <c r="L39" s="7" t="inlineStr">
        <is>
          <t>Radiator Fan Assembly Wholesale China | Cooling System Suppl</t>
        </is>
      </c>
      <c r="M39" s="7" t="inlineStr">
        <is>
          <t>Buy Radiator Fan Assembly wholesale from China. Electric cooling fan assemblies supplied as complete units including motor, fan blade, shroud and wiring harness</t>
        </is>
      </c>
    </row>
    <row r="40" ht="40" customHeight="1">
      <c r="A40" s="6" t="n">
        <v>48</v>
      </c>
      <c r="B40" s="7" t="inlineStr">
        <is>
          <t>Fan Motor</t>
        </is>
      </c>
      <c r="C40" s="7" t="inlineStr">
        <is>
          <t>part_048_radiator_fan_motor.jpg</t>
        </is>
      </c>
      <c r="D40" s="7" t="inlineStr">
        <is>
          <t>Radiator Fan Motor</t>
        </is>
      </c>
      <c r="E40" s="7" t="inlineStr"/>
      <c r="F40" s="8">
        <f>HYPERLINK("https://www.global-ucars.com/product-detail.html?id=48","View Product #48")</f>
        <v/>
      </c>
      <c r="G40" s="9" t="inlineStr"/>
      <c r="H40" s="9" t="inlineStr"/>
      <c r="I40" s="9" t="inlineStr"/>
      <c r="J40" s="9" t="inlineStr"/>
      <c r="K40" s="7" t="inlineStr">
        <is>
          <t>Radiator Fan Motor wholesale OEM supplier China export — Cooling System auto parts</t>
        </is>
      </c>
      <c r="L40" s="7" t="inlineStr">
        <is>
          <t>Radiator Fan Motor Wholesale China | Cooling System Supplier</t>
        </is>
      </c>
      <c r="M40" s="7" t="inlineStr">
        <is>
          <t xml:space="preserve">Buy Radiator Fan Motor wholesale from China. Replacement electric fan motors for radiator and condenser cooling fan assemblies. Our motors use high-temperature </t>
        </is>
      </c>
    </row>
    <row r="41" ht="40" customHeight="1">
      <c r="A41" s="6" t="n">
        <v>49</v>
      </c>
      <c r="B41" s="7" t="inlineStr">
        <is>
          <t>HVAC System</t>
        </is>
      </c>
      <c r="C41" s="7" t="inlineStr">
        <is>
          <t>part_049_heater_blower_motor.jpg</t>
        </is>
      </c>
      <c r="D41" s="7" t="inlineStr">
        <is>
          <t>Heater Blower Motor</t>
        </is>
      </c>
      <c r="E41" s="7" t="inlineStr"/>
      <c r="F41" s="8">
        <f>HYPERLINK("https://www.global-ucars.com/product-detail.html?id=49","View Product #49")</f>
        <v/>
      </c>
      <c r="G41" s="9" t="inlineStr"/>
      <c r="H41" s="9" t="inlineStr"/>
      <c r="I41" s="9" t="inlineStr"/>
      <c r="J41" s="9" t="inlineStr"/>
      <c r="K41" s="7" t="inlineStr">
        <is>
          <t>Heater Blower Motor wholesale OEM supplier China export — Cooling System auto parts</t>
        </is>
      </c>
      <c r="L41" s="7" t="inlineStr">
        <is>
          <t>Heater Blower Motor Wholesale China | Cooling System Supplie</t>
        </is>
      </c>
      <c r="M41" s="7" t="inlineStr">
        <is>
          <t>Buy Heater Blower Motor wholesale from China. HVAC blower motors for in-cabin heating and ventilation systems. Each motor is matched to the OEM impeller fan cag</t>
        </is>
      </c>
    </row>
    <row r="42" ht="40" customHeight="1">
      <c r="A42" s="6" t="n">
        <v>50</v>
      </c>
      <c r="B42" s="7" t="inlineStr">
        <is>
          <t>Oil Cooler</t>
        </is>
      </c>
      <c r="C42" s="7" t="inlineStr">
        <is>
          <t>part_050_oil_cooler.jpg</t>
        </is>
      </c>
      <c r="D42" s="7" t="inlineStr">
        <is>
          <t>Oil Cooler</t>
        </is>
      </c>
      <c r="E42" s="7" t="inlineStr"/>
      <c r="F42" s="8">
        <f>HYPERLINK("https://www.global-ucars.com/product-detail.html?id=50","View Product #50")</f>
        <v/>
      </c>
      <c r="G42" s="9" t="inlineStr"/>
      <c r="H42" s="9" t="inlineStr"/>
      <c r="I42" s="9" t="inlineStr"/>
      <c r="J42" s="9" t="inlineStr"/>
      <c r="K42" s="7" t="inlineStr">
        <is>
          <t>Oil Cooler wholesale OEM supplier China export — Cooling System auto parts</t>
        </is>
      </c>
      <c r="L42" s="7" t="inlineStr">
        <is>
          <t>Oil Cooler Wholesale China | Cooling System Supplier — Kingm</t>
        </is>
      </c>
      <c r="M42" s="7" t="inlineStr">
        <is>
          <t>Buy Oil Cooler wholesale from China. Engine oil coolers — plate-type and tube-and-shell designs — for managing oil temperature in demanding operating conditions</t>
        </is>
      </c>
    </row>
    <row r="43" ht="40" customHeight="1">
      <c r="A43" s="6" t="n">
        <v>51</v>
      </c>
      <c r="B43" s="7" t="inlineStr">
        <is>
          <t>Thermostat</t>
        </is>
      </c>
      <c r="C43" s="7" t="inlineStr">
        <is>
          <t>part_051_coolant_thermostat.jpg</t>
        </is>
      </c>
      <c r="D43" s="7" t="inlineStr">
        <is>
          <t>Coolant Thermostat</t>
        </is>
      </c>
      <c r="E43" s="7" t="inlineStr"/>
      <c r="F43" s="8">
        <f>HYPERLINK("https://www.global-ucars.com/product-detail.html?id=51","View Product #51")</f>
        <v/>
      </c>
      <c r="G43" s="9" t="inlineStr"/>
      <c r="H43" s="9" t="inlineStr"/>
      <c r="I43" s="9" t="inlineStr"/>
      <c r="J43" s="9" t="inlineStr"/>
      <c r="K43" s="7" t="inlineStr">
        <is>
          <t>Coolant Thermostat wholesale OEM supplier China export — Cooling System auto parts</t>
        </is>
      </c>
      <c r="L43" s="7" t="inlineStr">
        <is>
          <t>Coolant Thermostat Wholesale China | Cooling System Supplier</t>
        </is>
      </c>
      <c r="M43" s="7" t="inlineStr">
        <is>
          <t>Buy Coolant Thermostat wholesale from China. Wax-element thermostats engineered to open precisely at OEM rated temperature and achieve full lift by OEM specifie</t>
        </is>
      </c>
    </row>
    <row r="44" ht="40" customHeight="1">
      <c r="A44" s="6" t="n">
        <v>52</v>
      </c>
      <c r="B44" s="7" t="inlineStr">
        <is>
          <t>Thermostat Housing</t>
        </is>
      </c>
      <c r="C44" s="7" t="inlineStr">
        <is>
          <t>part_52.jpg</t>
        </is>
      </c>
      <c r="D44" s="7" t="inlineStr">
        <is>
          <t>Thermostat Housing</t>
        </is>
      </c>
      <c r="E44" s="7" t="inlineStr"/>
      <c r="F44" s="8">
        <f>HYPERLINK("https://www.global-ucars.com/product-detail.html?id=52","View Product #52")</f>
        <v/>
      </c>
      <c r="G44" s="9" t="inlineStr"/>
      <c r="H44" s="9" t="inlineStr"/>
      <c r="I44" s="9" t="inlineStr"/>
      <c r="J44" s="9" t="inlineStr"/>
      <c r="K44" s="7" t="inlineStr">
        <is>
          <t>Thermostat Housing wholesale OEM supplier China export — Cooling System auto parts</t>
        </is>
      </c>
      <c r="L44" s="7" t="inlineStr">
        <is>
          <t>Thermostat Housing Wholesale China | Cooling System Supplier</t>
        </is>
      </c>
      <c r="M44" s="7" t="inlineStr">
        <is>
          <t>Buy Thermostat Housing wholesale from China. Replacement thermostat housings — also called outlet/water outlet assemblies — cast from aluminum alloy or engineer</t>
        </is>
      </c>
    </row>
    <row r="45" ht="40" customHeight="1">
      <c r="A45" s="6" t="n">
        <v>53</v>
      </c>
      <c r="B45" s="7" t="inlineStr">
        <is>
          <t>Ac Compressor</t>
        </is>
      </c>
      <c r="C45" s="7" t="inlineStr">
        <is>
          <t>part_53.jpg</t>
        </is>
      </c>
      <c r="D45" s="7" t="inlineStr">
        <is>
          <t>A/C Compressor</t>
        </is>
      </c>
      <c r="E45" s="7" t="inlineStr"/>
      <c r="F45" s="8">
        <f>HYPERLINK("https://www.global-ucars.com/product-detail.html?id=53","View Product #53")</f>
        <v/>
      </c>
      <c r="G45" s="9" t="inlineStr"/>
      <c r="H45" s="9" t="inlineStr"/>
      <c r="I45" s="9" t="inlineStr"/>
      <c r="J45" s="9" t="inlineStr"/>
      <c r="K45" s="7" t="inlineStr">
        <is>
          <t>A/C Compressor wholesale OEM supplier China export — Cooling System auto parts</t>
        </is>
      </c>
      <c r="L45" s="7" t="inlineStr">
        <is>
          <t>A/C Compressor Wholesale China | Cooling System Supplier — K</t>
        </is>
      </c>
      <c r="M45" s="7" t="inlineStr">
        <is>
          <t>Buy A/C Compressor wholesale from China. Automotive air-conditioning compressors — scroll, swash-plate piston and variable displacement types — remanufactured o</t>
        </is>
      </c>
    </row>
    <row r="46" ht="40" customHeight="1">
      <c r="A46" s="6" t="n">
        <v>54</v>
      </c>
      <c r="B46" s="7" t="inlineStr">
        <is>
          <t>Radiators</t>
        </is>
      </c>
      <c r="C46" s="7" t="inlineStr">
        <is>
          <t>part_054_car_radiators.jpg</t>
        </is>
      </c>
      <c r="D46" s="7" t="inlineStr">
        <is>
          <t>Radiator</t>
        </is>
      </c>
      <c r="E46" s="7" t="inlineStr"/>
      <c r="F46" s="8">
        <f>HYPERLINK("https://www.global-ucars.com/product-detail.html?id=54","View Product #54")</f>
        <v/>
      </c>
      <c r="G46" s="9" t="inlineStr"/>
      <c r="H46" s="9" t="inlineStr"/>
      <c r="I46" s="9" t="inlineStr"/>
      <c r="J46" s="9" t="inlineStr"/>
      <c r="K46" s="7" t="inlineStr">
        <is>
          <t>Radiator wholesale OEM supplier China export — Cooling System auto parts</t>
        </is>
      </c>
      <c r="L46" s="7" t="inlineStr">
        <is>
          <t>Radiator Wholesale China | Cooling System Supplier — Kingmay</t>
        </is>
      </c>
      <c r="M46" s="7" t="inlineStr">
        <is>
          <t>Buy Radiator wholesale from China. All-aluminum brazed radiators and aluminum core/plastic tank radiators built to OEM dimensional and performance specification</t>
        </is>
      </c>
    </row>
    <row r="47" ht="40" customHeight="1">
      <c r="A47" s="6" t="n">
        <v>55</v>
      </c>
      <c r="B47" s="7" t="inlineStr">
        <is>
          <t>Coolant Temperature Sensor</t>
        </is>
      </c>
      <c r="C47" s="7" t="inlineStr">
        <is>
          <t>part_055_coolant_temperature_sensor.jpg</t>
        </is>
      </c>
      <c r="D47" s="7" t="inlineStr">
        <is>
          <t>Coolant Temperature Sensor</t>
        </is>
      </c>
      <c r="E47" s="7" t="inlineStr"/>
      <c r="F47" s="8">
        <f>HYPERLINK("https://www.global-ucars.com/product-detail.html?id=55","View Product #55")</f>
        <v/>
      </c>
      <c r="G47" s="9" t="inlineStr"/>
      <c r="H47" s="9" t="inlineStr"/>
      <c r="I47" s="9" t="inlineStr"/>
      <c r="J47" s="9" t="inlineStr"/>
      <c r="K47" s="7" t="inlineStr">
        <is>
          <t>Coolant Temperature Sensor wholesale OEM supplier China export — Cooling System auto parts</t>
        </is>
      </c>
      <c r="L47" s="7" t="inlineStr">
        <is>
          <t xml:space="preserve">Coolant Temperature Sensor Wholesale China | Cooling System </t>
        </is>
      </c>
      <c r="M47" s="7" t="inlineStr">
        <is>
          <t xml:space="preserve">Buy Coolant Temperature Sensor wholesale from China. Coolant temperature sensors (CTS) supply a real-time coolant temperature signal to the engine ECU for fuel </t>
        </is>
      </c>
    </row>
    <row r="48" ht="40" customHeight="1">
      <c r="A48" s="6" t="n">
        <v>79</v>
      </c>
      <c r="B48" s="7" t="inlineStr">
        <is>
          <t>Climate Control Module</t>
        </is>
      </c>
      <c r="C48" s="7" t="inlineStr">
        <is>
          <t>part_079_climate_control_module.jpg</t>
        </is>
      </c>
      <c r="D48" s="7" t="inlineStr">
        <is>
          <t>Climate Control Module</t>
        </is>
      </c>
      <c r="E48" s="7" t="inlineStr"/>
      <c r="F48" s="8">
        <f>HYPERLINK("https://www.global-ucars.com/product-detail.html?id=79","View Product #79")</f>
        <v/>
      </c>
      <c r="G48" s="9" t="inlineStr"/>
      <c r="H48" s="9" t="inlineStr"/>
      <c r="I48" s="9" t="inlineStr"/>
      <c r="J48" s="9" t="inlineStr"/>
      <c r="K48" s="7" t="inlineStr">
        <is>
          <t>Climate Control Module wholesale OEM supplier China export — Electrical System auto parts</t>
        </is>
      </c>
      <c r="L48" s="7" t="inlineStr">
        <is>
          <t>Climate Control Module Wholesale China | Electrical System S</t>
        </is>
      </c>
      <c r="M48" s="7" t="inlineStr">
        <is>
          <t>Buy Climate Control Module wholesale from China. Replacement automatic climate control (HVAC) modules and manual A/C control panels for in-cabin temperature reg</t>
        </is>
      </c>
    </row>
    <row r="49" ht="22" customHeight="1">
      <c r="A49" s="5" t="inlineStr">
        <is>
          <t>🟡 Suspension System (52 parts)</t>
        </is>
      </c>
    </row>
    <row r="50" ht="40" customHeight="1">
      <c r="A50" s="6" t="n">
        <v>61</v>
      </c>
      <c r="B50" s="7" t="inlineStr">
        <is>
          <t>Control Arm</t>
        </is>
      </c>
      <c r="C50" s="7" t="inlineStr">
        <is>
          <t>part_061_control_arm.jpg</t>
        </is>
      </c>
      <c r="D50" s="7" t="inlineStr">
        <is>
          <t>Control Arm</t>
        </is>
      </c>
      <c r="E50" s="7" t="inlineStr"/>
      <c r="F50" s="8">
        <f>HYPERLINK("https://www.global-ucars.com/product-detail.html?id=61","View Product #61")</f>
        <v/>
      </c>
      <c r="G50" s="9" t="inlineStr"/>
      <c r="H50" s="9" t="inlineStr"/>
      <c r="I50" s="9" t="inlineStr"/>
      <c r="J50" s="9" t="inlineStr"/>
      <c r="K50" s="7" t="inlineStr">
        <is>
          <t>Control Arm wholesale OEM supplier China export — Suspension &amp; Steering System auto parts</t>
        </is>
      </c>
      <c r="L50" s="7" t="inlineStr">
        <is>
          <t>Control Arm Wholesale China | Suspension &amp; Steering Supplier</t>
        </is>
      </c>
      <c r="M50" s="7" t="inlineStr">
        <is>
          <t xml:space="preserve">Buy Control Arm wholesale from China. Front and rear suspension control arms (lower and upper) manufactured from stamped high-strength steel or forged aluminum </t>
        </is>
      </c>
    </row>
    <row r="51" ht="40" customHeight="1">
      <c r="A51" s="6" t="n">
        <v>62</v>
      </c>
      <c r="B51" s="7" t="inlineStr">
        <is>
          <t>Shock Absorber</t>
        </is>
      </c>
      <c r="C51" s="7" t="inlineStr">
        <is>
          <t>part_062_shock_absorber.jpg</t>
        </is>
      </c>
      <c r="D51" s="7" t="inlineStr">
        <is>
          <t>Shock Absorber</t>
        </is>
      </c>
      <c r="E51" s="7" t="inlineStr"/>
      <c r="F51" s="8">
        <f>HYPERLINK("https://www.global-ucars.com/product-detail.html?id=62","View Product #62")</f>
        <v/>
      </c>
      <c r="G51" s="9" t="inlineStr"/>
      <c r="H51" s="9" t="inlineStr"/>
      <c r="I51" s="9" t="inlineStr"/>
      <c r="J51" s="9" t="inlineStr"/>
      <c r="K51" s="7" t="inlineStr">
        <is>
          <t>Shock Absorber wholesale OEM supplier China export — Suspension &amp; Steering System auto parts</t>
        </is>
      </c>
      <c r="L51" s="7" t="inlineStr">
        <is>
          <t>Shock Absorber Wholesale China | Suspension &amp; Steering Suppl</t>
        </is>
      </c>
      <c r="M51" s="7" t="inlineStr">
        <is>
          <t xml:space="preserve">Buy Shock Absorber wholesale from China. Twin-tube hydraulic and mono-tube gas-pressure shock absorbers built for reliable ride control under the full range of </t>
        </is>
      </c>
    </row>
    <row r="52" ht="40" customHeight="1">
      <c r="A52" s="6" t="n">
        <v>63</v>
      </c>
      <c r="B52" s="7" t="inlineStr">
        <is>
          <t>Sway Bar Link</t>
        </is>
      </c>
      <c r="C52" s="7" t="inlineStr">
        <is>
          <t>part_063_sway_bar_link.jpg</t>
        </is>
      </c>
      <c r="D52" s="7" t="inlineStr">
        <is>
          <t>Sway Bar Link</t>
        </is>
      </c>
      <c r="E52" s="7" t="inlineStr"/>
      <c r="F52" s="8">
        <f>HYPERLINK("https://www.global-ucars.com/product-detail.html?id=63","View Product #63")</f>
        <v/>
      </c>
      <c r="G52" s="9" t="inlineStr"/>
      <c r="H52" s="9" t="inlineStr"/>
      <c r="I52" s="9" t="inlineStr"/>
      <c r="J52" s="9" t="inlineStr"/>
      <c r="K52" s="7" t="inlineStr">
        <is>
          <t>Sway Bar Link wholesale OEM supplier China export — Suspension &amp; Steering System auto parts</t>
        </is>
      </c>
      <c r="L52" s="7" t="inlineStr">
        <is>
          <t>Sway Bar Link Wholesale China | Suspension &amp; Steering Suppli</t>
        </is>
      </c>
      <c r="M52" s="7" t="inlineStr">
        <is>
          <t>Buy Sway Bar Link wholesale from China. Stabiliser bar (sway bar) links connecting the stabiliser bar to the suspension strut or control arm. Our links use forg</t>
        </is>
      </c>
    </row>
    <row r="53" ht="40" customHeight="1">
      <c r="A53" s="6" t="n">
        <v>64</v>
      </c>
      <c r="B53" s="7" t="inlineStr">
        <is>
          <t>Tie Rod End</t>
        </is>
      </c>
      <c r="C53" s="7" t="inlineStr">
        <is>
          <t>part_064_tie_rod_end.jpg</t>
        </is>
      </c>
      <c r="D53" s="7" t="inlineStr">
        <is>
          <t>Outer Tie Rod End</t>
        </is>
      </c>
      <c r="E53" s="7" t="inlineStr"/>
      <c r="F53" s="8">
        <f>HYPERLINK("https://www.global-ucars.com/product-detail.html?id=64","View Product #64")</f>
        <v/>
      </c>
      <c r="G53" s="9" t="inlineStr"/>
      <c r="H53" s="9" t="inlineStr"/>
      <c r="I53" s="9" t="inlineStr"/>
      <c r="J53" s="9" t="inlineStr"/>
      <c r="K53" s="7" t="inlineStr">
        <is>
          <t>Outer Tie Rod End wholesale OEM supplier China export — Suspension &amp; Steering System auto parts</t>
        </is>
      </c>
      <c r="L53" s="7" t="inlineStr">
        <is>
          <t>Outer Tie Rod End Wholesale China | Suspension &amp; Steering Su</t>
        </is>
      </c>
      <c r="M53" s="7" t="inlineStr">
        <is>
          <t>Buy Outer Tie Rod End wholesale from China. Steering outer tie rod ends (rack ends) connecting the steering rack to the steering knuckle. OEM-specification thre</t>
        </is>
      </c>
    </row>
    <row r="54" ht="40" customHeight="1">
      <c r="A54" s="6" t="n">
        <v>65</v>
      </c>
      <c r="B54" s="7" t="inlineStr">
        <is>
          <t>Inner Tie Rods</t>
        </is>
      </c>
      <c r="C54" s="7" t="inlineStr">
        <is>
          <t>part_065_inner_tie_rod.jpg</t>
        </is>
      </c>
      <c r="D54" s="7" t="inlineStr">
        <is>
          <t>Inner Tie Rod (Rack End)</t>
        </is>
      </c>
      <c r="E54" s="7" t="inlineStr"/>
      <c r="F54" s="8">
        <f>HYPERLINK("https://www.global-ucars.com/product-detail.html?id=65","View Product #65")</f>
        <v/>
      </c>
      <c r="G54" s="9" t="inlineStr"/>
      <c r="H54" s="9" t="inlineStr"/>
      <c r="I54" s="9" t="inlineStr"/>
      <c r="J54" s="9" t="inlineStr"/>
      <c r="K54" s="7" t="inlineStr">
        <is>
          <t>Inner Tie Rod (Rack End) wholesale OEM supplier China export — Suspension &amp; Steering System auto parts</t>
        </is>
      </c>
      <c r="L54" s="7" t="inlineStr">
        <is>
          <t>Inner Tie Rod (Rack End) Wholesale China | Suspension &amp; Stee</t>
        </is>
      </c>
      <c r="M54" s="7" t="inlineStr">
        <is>
          <t>Buy Inner Tie Rod (Rack End) wholesale from China. Steering inner tie rod ends (inner rack ends) threaded onto the steering rack and connecting to the outer tie</t>
        </is>
      </c>
    </row>
    <row r="55" ht="40" customHeight="1">
      <c r="A55" s="6" t="n">
        <v>66</v>
      </c>
      <c r="B55" s="7" t="inlineStr">
        <is>
          <t>Steering Rack</t>
        </is>
      </c>
      <c r="C55" s="7" t="inlineStr">
        <is>
          <t>part_066_steering_rack_and_pinion.jpg</t>
        </is>
      </c>
      <c r="D55" s="7" t="inlineStr">
        <is>
          <t>Steering Rack and Pinion</t>
        </is>
      </c>
      <c r="E55" s="7" t="inlineStr"/>
      <c r="F55" s="8">
        <f>HYPERLINK("https://www.global-ucars.com/product-detail.html?id=66","View Product #66")</f>
        <v/>
      </c>
      <c r="G55" s="9" t="inlineStr"/>
      <c r="H55" s="9" t="inlineStr"/>
      <c r="I55" s="9" t="inlineStr"/>
      <c r="J55" s="9" t="inlineStr"/>
      <c r="K55" s="7" t="inlineStr">
        <is>
          <t>Steering Rack and Pinion wholesale OEM supplier China export — Suspension &amp; Steering System auto parts</t>
        </is>
      </c>
      <c r="L55" s="7" t="inlineStr">
        <is>
          <t>Steering Rack and Pinion Wholesale China | Suspension &amp; Stee</t>
        </is>
      </c>
      <c r="M55" s="7" t="inlineStr">
        <is>
          <t>Buy Steering Rack and Pinion wholesale from China. Complete power-assisted and manual steering rack-and-pinion assemblies, remanufactured or new-equivalent. Eac</t>
        </is>
      </c>
    </row>
    <row r="56" ht="40" customHeight="1">
      <c r="A56" s="6" t="n">
        <v>67</v>
      </c>
      <c r="B56" s="7" t="inlineStr">
        <is>
          <t>Bushing Kit</t>
        </is>
      </c>
      <c r="C56" s="7" t="inlineStr">
        <is>
          <t>part_067_suspension_bushing_kit.jpg</t>
        </is>
      </c>
      <c r="D56" s="7" t="inlineStr">
        <is>
          <t>Suspension Bushing Kit</t>
        </is>
      </c>
      <c r="E56" s="7" t="inlineStr"/>
      <c r="F56" s="8">
        <f>HYPERLINK("https://www.global-ucars.com/product-detail.html?id=67","View Product #67")</f>
        <v/>
      </c>
      <c r="G56" s="9" t="inlineStr"/>
      <c r="H56" s="9" t="inlineStr"/>
      <c r="I56" s="9" t="inlineStr"/>
      <c r="J56" s="9" t="inlineStr"/>
      <c r="K56" s="7" t="inlineStr">
        <is>
          <t>Suspension Bushing Kit wholesale OEM supplier China export — Suspension &amp; Steering System auto parts</t>
        </is>
      </c>
      <c r="L56" s="7" t="inlineStr">
        <is>
          <t>Suspension Bushing Kit Wholesale China | Suspension &amp; Steeri</t>
        </is>
      </c>
      <c r="M56" s="7" t="inlineStr">
        <is>
          <t>Buy Suspension Bushing Kit wholesale from China. Complete suspension bushing kits supplying all rubber-metal bushings required for a front or rear suspension ar</t>
        </is>
      </c>
    </row>
    <row r="57" ht="40" customHeight="1">
      <c r="A57" s="6" t="n">
        <v>68</v>
      </c>
      <c r="B57" s="7" t="inlineStr">
        <is>
          <t>Wheel Bearing</t>
        </is>
      </c>
      <c r="C57" s="7" t="inlineStr">
        <is>
          <t>part_068_wheel_bearing.jpg</t>
        </is>
      </c>
      <c r="D57" s="7" t="inlineStr">
        <is>
          <t>Wheel Bearing</t>
        </is>
      </c>
      <c r="E57" s="7" t="inlineStr"/>
      <c r="F57" s="8">
        <f>HYPERLINK("https://www.global-ucars.com/product-detail.html?id=68","View Product #68")</f>
        <v/>
      </c>
      <c r="G57" s="9" t="inlineStr"/>
      <c r="H57" s="9" t="inlineStr"/>
      <c r="I57" s="9" t="inlineStr"/>
      <c r="J57" s="9" t="inlineStr"/>
      <c r="K57" s="7" t="inlineStr">
        <is>
          <t>Wheel Bearing wholesale OEM supplier China export — Suspension &amp; Steering System auto parts</t>
        </is>
      </c>
      <c r="L57" s="7" t="inlineStr">
        <is>
          <t>Wheel Bearing Wholesale China | Suspension &amp; Steering Suppli</t>
        </is>
      </c>
      <c r="M57" s="7" t="inlineStr">
        <is>
          <t>Buy Wheel Bearing wholesale from China. Front and rear wheel bearings and hub bearing assemblies engineered for reliable service under combined radial and axial</t>
        </is>
      </c>
    </row>
    <row r="58" ht="40" customHeight="1">
      <c r="A58" s="6" t="n">
        <v>69</v>
      </c>
      <c r="B58" s="7" t="inlineStr">
        <is>
          <t>Bearing</t>
        </is>
      </c>
      <c r="C58" s="7" t="inlineStr">
        <is>
          <t>part_069_bearing.jpg</t>
        </is>
      </c>
      <c r="D58" s="7" t="inlineStr">
        <is>
          <t>Hub Bearing Assembly</t>
        </is>
      </c>
      <c r="E58" s="7" t="inlineStr"/>
      <c r="F58" s="8">
        <f>HYPERLINK("https://www.global-ucars.com/product-detail.html?id=69","View Product #69")</f>
        <v/>
      </c>
      <c r="G58" s="9" t="inlineStr"/>
      <c r="H58" s="9" t="inlineStr"/>
      <c r="I58" s="9" t="inlineStr"/>
      <c r="J58" s="9" t="inlineStr"/>
      <c r="K58" s="7" t="inlineStr">
        <is>
          <t>Hub Bearing Assembly wholesale OEM supplier China export — Suspension &amp; Steering System auto parts</t>
        </is>
      </c>
      <c r="L58" s="7" t="inlineStr">
        <is>
          <t>Hub Bearing Assembly Wholesale China | Suspension &amp; Steering</t>
        </is>
      </c>
      <c r="M58" s="7" t="inlineStr">
        <is>
          <t>Buy Hub Bearing Assembly wholesale from China. Complete Gen 2 and Gen 3 hub bearing assemblies (flanged wheel hub units) ready for bolt-on installation. Gen 3 u</t>
        </is>
      </c>
    </row>
    <row r="59" ht="40" customHeight="1">
      <c r="A59" s="6" t="n">
        <v>72</v>
      </c>
      <c r="B59" s="7" t="inlineStr">
        <is>
          <t>Ball Joint</t>
        </is>
      </c>
      <c r="C59" s="7" t="inlineStr">
        <is>
          <t>part_72.jpg</t>
        </is>
      </c>
      <c r="D59" s="7" t="inlineStr">
        <is>
          <t>Ball Joint</t>
        </is>
      </c>
      <c r="E59" s="7" t="inlineStr"/>
      <c r="F59" s="8">
        <f>HYPERLINK("https://www.global-ucars.com/product-detail.html?id=72","View Product #72")</f>
        <v/>
      </c>
      <c r="G59" s="9" t="inlineStr"/>
      <c r="H59" s="9" t="inlineStr"/>
      <c r="I59" s="9" t="inlineStr"/>
      <c r="J59" s="9" t="inlineStr"/>
      <c r="K59" s="7" t="inlineStr">
        <is>
          <t>Ball Joint wholesale OEM supplier China export — Suspension &amp; Steering System auto parts</t>
        </is>
      </c>
      <c r="L59" s="7" t="inlineStr">
        <is>
          <t xml:space="preserve">Ball Joint Wholesale China | Suspension &amp; Steering Supplier </t>
        </is>
      </c>
      <c r="M59" s="7" t="inlineStr">
        <is>
          <t>Buy Ball Joint wholesale from China. Front lower and upper ball joints connecting the suspension control arm to the steering knuckle. The ball joint must suppor</t>
        </is>
      </c>
    </row>
    <row r="60" ht="40" customHeight="1">
      <c r="A60" s="6" t="n">
        <v>73</v>
      </c>
      <c r="B60" s="7" t="inlineStr">
        <is>
          <t>Strut Mount</t>
        </is>
      </c>
      <c r="C60" s="7" t="inlineStr">
        <is>
          <t>part_73.jpg</t>
        </is>
      </c>
      <c r="D60" s="7" t="inlineStr">
        <is>
          <t>Strut Mount</t>
        </is>
      </c>
      <c r="E60" s="7" t="inlineStr"/>
      <c r="F60" s="8">
        <f>HYPERLINK("https://www.global-ucars.com/product-detail.html?id=73","View Product #73")</f>
        <v/>
      </c>
      <c r="G60" s="9" t="inlineStr"/>
      <c r="H60" s="9" t="inlineStr"/>
      <c r="I60" s="9" t="inlineStr"/>
      <c r="J60" s="9" t="inlineStr"/>
      <c r="K60" s="7" t="inlineStr">
        <is>
          <t>Strut Mount wholesale OEM supplier China export — Suspension &amp; Steering System auto parts</t>
        </is>
      </c>
      <c r="L60" s="7" t="inlineStr">
        <is>
          <t>Strut Mount Wholesale China | Suspension &amp; Steering Supplier</t>
        </is>
      </c>
      <c r="M60" s="7" t="inlineStr">
        <is>
          <t>Buy Strut Mount wholesale from China. Upper strut mounts and bearing assemblies (top mounts) for MacPherson-type front suspension systems. The strut mount serve</t>
        </is>
      </c>
    </row>
    <row r="61" ht="40" customHeight="1">
      <c r="A61" s="6" t="n">
        <v>75</v>
      </c>
      <c r="B61" s="7" t="inlineStr">
        <is>
          <t>Driveline</t>
        </is>
      </c>
      <c r="C61" s="7" t="inlineStr">
        <is>
          <t>part_075_cv_axle_shaft.jpg</t>
        </is>
      </c>
      <c r="D61" s="7" t="inlineStr">
        <is>
          <t>CV Axle Shaft</t>
        </is>
      </c>
      <c r="E61" s="7" t="inlineStr"/>
      <c r="F61" s="8">
        <f>HYPERLINK("https://www.global-ucars.com/product-detail.html?id=75","View Product #75")</f>
        <v/>
      </c>
      <c r="G61" s="9" t="inlineStr"/>
      <c r="H61" s="9" t="inlineStr"/>
      <c r="I61" s="9" t="inlineStr"/>
      <c r="J61" s="9" t="inlineStr"/>
      <c r="K61" s="7" t="inlineStr">
        <is>
          <t>CV Axle Shaft wholesale OEM supplier China export — Suspension &amp; Steering auto parts</t>
        </is>
      </c>
      <c r="L61" s="7" t="inlineStr">
        <is>
          <t>CV Axle Shaft Wholesale China | Suspension &amp; Steering Suppli</t>
        </is>
      </c>
      <c r="M61" s="7" t="inlineStr">
        <is>
          <t>Buy CV Axle Shaft wholesale from China. Constant velocity (CV) axle shaft assemblies for front-wheel-drive and all-wheel-drive vehicles, supplied as complete ne</t>
        </is>
      </c>
    </row>
    <row r="62" ht="40" customHeight="1">
      <c r="A62" s="6" t="n">
        <v>163</v>
      </c>
      <c r="B62" s="7" t="inlineStr">
        <is>
          <t>Control Arm</t>
        </is>
      </c>
      <c r="C62" s="7" t="inlineStr">
        <is>
          <t>part_163_control_arm_elantra.jpg</t>
        </is>
      </c>
      <c r="D62" s="7" t="inlineStr">
        <is>
          <t>Front Lower Control Arm – Hyundai Elantra / Avante / Kia Cerato</t>
        </is>
      </c>
      <c r="E62" s="7" t="inlineStr"/>
      <c r="F62" s="8">
        <f>HYPERLINK("https://www.global-ucars.com/product-detail.html?id=163","View Product #163")</f>
        <v/>
      </c>
      <c r="G62" s="9" t="inlineStr"/>
      <c r="H62" s="9" t="inlineStr"/>
      <c r="I62" s="9" t="inlineStr"/>
      <c r="J62" s="9" t="inlineStr"/>
      <c r="K62" s="7" t="inlineStr">
        <is>
          <t>Front Lower Control Arm – Hyundai Elantra / Avante / Kia Cerato OEM wholesale supplier China — Kingm</t>
        </is>
      </c>
      <c r="L62" s="7" t="inlineStr">
        <is>
          <t>Front Lower Control Arm Hyundai Elantra Avante Kia Cerato | OEM 54501-2H000 | Kingmay</t>
        </is>
      </c>
      <c r="M62" s="7" t="inlineStr">
        <is>
          <t>OEM-grade front lower control arm Hyundai Elantra MD/AD, Avante, i30, Kia Cerato. OEM 54501-2H000. Forged steel, E-coat. B2B wholesale MOQ 20pcs.</t>
        </is>
      </c>
    </row>
    <row r="63" ht="40" customHeight="1">
      <c r="A63" s="6" t="n">
        <v>164</v>
      </c>
      <c r="B63" s="7" t="inlineStr">
        <is>
          <t>Control Arm</t>
        </is>
      </c>
      <c r="C63" s="7" t="inlineStr">
        <is>
          <t>part_164_rear_control_arm_sonata.jpg</t>
        </is>
      </c>
      <c r="D63" s="7" t="inlineStr">
        <is>
          <t>Rear Lower Control Arm – Hyundai Sonata / Kia K5 Optima</t>
        </is>
      </c>
      <c r="E63" s="7" t="inlineStr"/>
      <c r="F63" s="8">
        <f>HYPERLINK("https://www.global-ucars.com/product-detail.html?id=164","View Product #164")</f>
        <v/>
      </c>
      <c r="G63" s="9" t="inlineStr"/>
      <c r="H63" s="9" t="inlineStr"/>
      <c r="I63" s="9" t="inlineStr"/>
      <c r="J63" s="9" t="inlineStr"/>
      <c r="K63" s="7" t="inlineStr">
        <is>
          <t xml:space="preserve">Rear Lower Control Arm – Hyundai Sonata / Kia K5 Optima OEM wholesale supplier China — Kingmay Auto </t>
        </is>
      </c>
      <c r="L63" s="7" t="inlineStr">
        <is>
          <t>Rear Lower Control Arm Hyundai Sonata Kia K5 Optima | OEM 55270-3S000 | Kingmay</t>
        </is>
      </c>
      <c r="M63" s="7" t="inlineStr">
        <is>
          <t>Rear lower control arm Hyundai Sonata YF/LF, Kia K5/Optima TF/JF. OEM 55270-3S000. Stamped steel ≥500MPa, factory bushing. B2B MOQ 20pcs.</t>
        </is>
      </c>
    </row>
    <row r="64" ht="40" customHeight="1">
      <c r="A64" s="6" t="n">
        <v>165</v>
      </c>
      <c r="B64" s="7" t="inlineStr">
        <is>
          <t>Control Arm</t>
        </is>
      </c>
      <c r="C64" s="7" t="inlineStr">
        <is>
          <t>part_165_control_arm_tucson.jpg</t>
        </is>
      </c>
      <c r="D64" s="7" t="inlineStr">
        <is>
          <t>Front Lower Control Arm – Hyundai Tucson / ix35 / Kia Sportage</t>
        </is>
      </c>
      <c r="E64" s="7" t="inlineStr"/>
      <c r="F64" s="8">
        <f>HYPERLINK("https://www.global-ucars.com/product-detail.html?id=165","View Product #165")</f>
        <v/>
      </c>
      <c r="G64" s="9" t="inlineStr"/>
      <c r="H64" s="9" t="inlineStr"/>
      <c r="I64" s="9" t="inlineStr"/>
      <c r="J64" s="9" t="inlineStr"/>
      <c r="K64" s="7" t="inlineStr">
        <is>
          <t>Front Lower Control Arm – Hyundai Tucson / ix35 / Kia Sportage OEM wholesale supplier China — Kingma</t>
        </is>
      </c>
      <c r="L64" s="7" t="inlineStr">
        <is>
          <t>Front Lower Control Arm Hyundai Tucson ix35 Kia Sportage | OEM 54501-2S000 | Kingmay</t>
        </is>
      </c>
      <c r="M64" s="7" t="inlineStr">
        <is>
          <t>Front lower control arm Hyundai Tucson LM/TL, ix35, Kia Sportage SL/QL. OEM 54501-2S000. SUV forged, E-coat ≥600h. 2WD/AWD. MOQ 20pcs.</t>
        </is>
      </c>
    </row>
    <row r="65" ht="40" customHeight="1">
      <c r="A65" s="6" t="n">
        <v>166</v>
      </c>
      <c r="B65" s="7" t="inlineStr">
        <is>
          <t>Control Arm</t>
        </is>
      </c>
      <c r="C65" s="7" t="inlineStr">
        <is>
          <t>part_166_upper_control_arm_sorento.jpg</t>
        </is>
      </c>
      <c r="D65" s="7" t="inlineStr">
        <is>
          <t>Front Upper Control Arm – Kia Sorento / Hyundai Santa Fe</t>
        </is>
      </c>
      <c r="E65" s="7" t="inlineStr"/>
      <c r="F65" s="8">
        <f>HYPERLINK("https://www.global-ucars.com/product-detail.html?id=166","View Product #166")</f>
        <v/>
      </c>
      <c r="G65" s="9" t="inlineStr"/>
      <c r="H65" s="9" t="inlineStr"/>
      <c r="I65" s="9" t="inlineStr"/>
      <c r="J65" s="9" t="inlineStr"/>
      <c r="K65" s="7" t="inlineStr">
        <is>
          <t>Front Upper Control Arm – Kia Sorento / Hyundai Santa Fe OEM wholesale supplier China — Kingmay Auto</t>
        </is>
      </c>
      <c r="L65" s="7" t="inlineStr">
        <is>
          <t>Front Upper Control Arm Kia Sorento Hyundai Santa Fe | OEM 54401-2P000 | Kingmay</t>
        </is>
      </c>
      <c r="M65" s="7" t="inlineStr">
        <is>
          <t>Front upper control arm Kia Sorento XM/UM, Hyundai Santa Fe DM/TM. OEM 54401-2P000. Forged steel ±0.05mm. Ball joint options. MOQ 15pcs.</t>
        </is>
      </c>
    </row>
    <row r="66" ht="40" customHeight="1">
      <c r="A66" s="6" t="n">
        <v>167</v>
      </c>
      <c r="B66" s="7" t="inlineStr">
        <is>
          <t>Tie Rod End</t>
        </is>
      </c>
      <c r="C66" s="7" t="inlineStr">
        <is>
          <t>part_167_tie_rod_end_elantra.jpg</t>
        </is>
      </c>
      <c r="D66" s="7" t="inlineStr">
        <is>
          <t>Outer Tie Rod End – Hyundai Elantra / i30 / Kia Cerato</t>
        </is>
      </c>
      <c r="E66" s="7" t="inlineStr"/>
      <c r="F66" s="8">
        <f>HYPERLINK("https://www.global-ucars.com/product-detail.html?id=167","View Product #167")</f>
        <v/>
      </c>
      <c r="G66" s="9" t="inlineStr"/>
      <c r="H66" s="9" t="inlineStr"/>
      <c r="I66" s="9" t="inlineStr"/>
      <c r="J66" s="9" t="inlineStr"/>
      <c r="K66" s="7" t="inlineStr">
        <is>
          <t>Outer Tie Rod End – Hyundai Elantra / i30 / Kia Cerato OEM wholesale supplier China — Kingmay Auto P</t>
        </is>
      </c>
      <c r="L66" s="7" t="inlineStr">
        <is>
          <t>Outer Tie Rod End Hyundai Elantra i30 Kia Cerato | OEM 56820-1G000 | Kingmay</t>
        </is>
      </c>
      <c r="M66" s="7" t="inlineStr">
        <is>
          <t>Outer tie rod end Hyundai Elantra LD/MD/AD, i30, Kia Cerato. OEM 56820-1G000. 58HRC chrome stud, greaseable, TPE boot. Export MOQ 50pcs.</t>
        </is>
      </c>
    </row>
    <row r="67" ht="40" customHeight="1">
      <c r="A67" s="6" t="n">
        <v>168</v>
      </c>
      <c r="B67" s="7" t="inlineStr">
        <is>
          <t>Inner Tie Rod</t>
        </is>
      </c>
      <c r="C67" s="7" t="inlineStr">
        <is>
          <t>part_168_inner_tie_rod_sonata.jpg</t>
        </is>
      </c>
      <c r="D67" s="7" t="inlineStr">
        <is>
          <t>Inner Tie Rod / Rack End – Hyundai Sonata / Kia K5 Optima</t>
        </is>
      </c>
      <c r="E67" s="7" t="inlineStr"/>
      <c r="F67" s="8">
        <f>HYPERLINK("https://www.global-ucars.com/product-detail.html?id=168","View Product #168")</f>
        <v/>
      </c>
      <c r="G67" s="9" t="inlineStr"/>
      <c r="H67" s="9" t="inlineStr"/>
      <c r="I67" s="9" t="inlineStr"/>
      <c r="J67" s="9" t="inlineStr"/>
      <c r="K67" s="7" t="inlineStr">
        <is>
          <t>Inner Tie Rod / Rack End – Hyundai Sonata / Kia K5 Optima OEM wholesale supplier China — Kingmay Aut</t>
        </is>
      </c>
      <c r="L67" s="7" t="inlineStr">
        <is>
          <t>Inner Tie Rod Rack End Hyundai Sonata Kia K5 Optima | OEM 57724-3S010 | Kingmay</t>
        </is>
      </c>
      <c r="M67" s="7" t="inlineStr">
        <is>
          <t>Inner tie rod rack end Hyundai Sonata NF/YF/LF, Kia K5/Optima. OEM 57724-3S010. CNC steel ≥58HRC. Export MOQ 50pcs.</t>
        </is>
      </c>
    </row>
    <row r="68" ht="40" customHeight="1">
      <c r="A68" s="6" t="n">
        <v>169</v>
      </c>
      <c r="B68" s="7" t="inlineStr">
        <is>
          <t>Tie Rod End</t>
        </is>
      </c>
      <c r="C68" s="7" t="inlineStr">
        <is>
          <t>part_169_tie_rod_end_tucson.jpg</t>
        </is>
      </c>
      <c r="D68" s="7" t="inlineStr">
        <is>
          <t>Outer Tie Rod End – Hyundai Tucson / ix35 / Kia Sportage</t>
        </is>
      </c>
      <c r="E68" s="7" t="inlineStr"/>
      <c r="F68" s="8">
        <f>HYPERLINK("https://www.global-ucars.com/product-detail.html?id=169","View Product #169")</f>
        <v/>
      </c>
      <c r="G68" s="9" t="inlineStr"/>
      <c r="H68" s="9" t="inlineStr"/>
      <c r="I68" s="9" t="inlineStr"/>
      <c r="J68" s="9" t="inlineStr"/>
      <c r="K68" s="7" t="inlineStr">
        <is>
          <t>Outer Tie Rod End – Hyundai Tucson / ix35 / Kia Sportage OEM wholesale supplier China — Kingmay Auto</t>
        </is>
      </c>
      <c r="L68" s="7" t="inlineStr">
        <is>
          <t>Outer Tie Rod End Hyundai Tucson ix35 Kia Sportage | OEM 56820-2S000 | Kingmay</t>
        </is>
      </c>
      <c r="M68" s="7" t="inlineStr">
        <is>
          <t>Outer tie rod end Hyundai Tucson LM/TL, ix35, Kia Sportage SL/QL. OEM 56820-2S000. SUV grade, chrome stud, TPE. MOQ 50pcs.</t>
        </is>
      </c>
    </row>
    <row r="69" ht="40" customHeight="1">
      <c r="A69" s="6" t="n">
        <v>170</v>
      </c>
      <c r="B69" s="7" t="inlineStr">
        <is>
          <t>Ball Joint</t>
        </is>
      </c>
      <c r="C69" s="7" t="inlineStr">
        <is>
          <t>part_170_ball_joint_elantra.jpg</t>
        </is>
      </c>
      <c r="D69" s="7" t="inlineStr">
        <is>
          <t>Front Lower Ball Joint – Hyundai Elantra / i30 / Kia Cerato</t>
        </is>
      </c>
      <c r="E69" s="7" t="inlineStr"/>
      <c r="F69" s="8">
        <f>HYPERLINK("https://www.global-ucars.com/product-detail.html?id=170","View Product #170")</f>
        <v/>
      </c>
      <c r="G69" s="9" t="inlineStr"/>
      <c r="H69" s="9" t="inlineStr"/>
      <c r="I69" s="9" t="inlineStr"/>
      <c r="J69" s="9" t="inlineStr"/>
      <c r="K69" s="7" t="inlineStr">
        <is>
          <t>Front Lower Ball Joint – Hyundai Elantra / i30 / Kia Cerato OEM wholesale supplier China — Kingmay A</t>
        </is>
      </c>
      <c r="L69" s="7" t="inlineStr">
        <is>
          <t>Front Lower Ball Joint Hyundai Elantra i30 Kia Cerato | OEM 54530-1G000 | Kingmay</t>
        </is>
      </c>
      <c r="M69" s="7" t="inlineStr">
        <is>
          <t>Front lower ball joint Hyundai Elantra LD/MD, i30, Kia Cerato. OEM 54530-1G000. 40Cr stud 58HRC, PTFE socket. Export MOQ 50pcs.</t>
        </is>
      </c>
    </row>
    <row r="70" ht="40" customHeight="1">
      <c r="A70" s="6" t="n">
        <v>171</v>
      </c>
      <c r="B70" s="7" t="inlineStr">
        <is>
          <t>Ball Joint</t>
        </is>
      </c>
      <c r="C70" s="7" t="inlineStr">
        <is>
          <t>part_171_ball_joint_santa_fe.jpg</t>
        </is>
      </c>
      <c r="D70" s="7" t="inlineStr">
        <is>
          <t>Front Lower Ball Joint – Hyundai Santa Fe / Kia Sorento (SUV)</t>
        </is>
      </c>
      <c r="E70" s="7" t="inlineStr"/>
      <c r="F70" s="8">
        <f>HYPERLINK("https://www.global-ucars.com/product-detail.html?id=171","View Product #171")</f>
        <v/>
      </c>
      <c r="G70" s="9" t="inlineStr"/>
      <c r="H70" s="9" t="inlineStr"/>
      <c r="I70" s="9" t="inlineStr"/>
      <c r="J70" s="9" t="inlineStr"/>
      <c r="K70" s="7" t="inlineStr">
        <is>
          <t>Front Lower Ball Joint – Hyundai Santa Fe / Kia Sorento (SUV) OEM wholesale supplier China — Kingmay</t>
        </is>
      </c>
      <c r="L70" s="7" t="inlineStr">
        <is>
          <t>Front Lower Ball Joint Hyundai Santa Fe Kia Sorento | OEM 54530-2B000 | Kingmay</t>
        </is>
      </c>
      <c r="M70" s="7" t="inlineStr">
        <is>
          <t>Front lower ball joint Hyundai Santa Fe CM/DM, Kia Sorento BL/XM. OEM 54530-2B000. Forged housing, greaseable, synthetic grease. MOQ 30pcs.</t>
        </is>
      </c>
    </row>
    <row r="71" ht="40" customHeight="1">
      <c r="A71" s="6" t="n">
        <v>172</v>
      </c>
      <c r="B71" s="7" t="inlineStr">
        <is>
          <t>Stabilizer Link</t>
        </is>
      </c>
      <c r="C71" s="7" t="inlineStr">
        <is>
          <t>part_172_stabilizer_link_elantra.jpg</t>
        </is>
      </c>
      <c r="D71" s="7" t="inlineStr">
        <is>
          <t>Front Stabilizer Link – Hyundai Elantra / i30 / Kia Cerato</t>
        </is>
      </c>
      <c r="E71" s="7" t="inlineStr"/>
      <c r="F71" s="8">
        <f>HYPERLINK("https://www.global-ucars.com/product-detail.html?id=172","View Product #172")</f>
        <v/>
      </c>
      <c r="G71" s="9" t="inlineStr"/>
      <c r="H71" s="9" t="inlineStr"/>
      <c r="I71" s="9" t="inlineStr"/>
      <c r="J71" s="9" t="inlineStr"/>
      <c r="K71" s="7" t="inlineStr">
        <is>
          <t>Front Stabilizer Link – Hyundai Elantra / i30 / Kia Cerato OEM wholesale supplier China — Kingmay Au</t>
        </is>
      </c>
      <c r="L71" s="7" t="inlineStr">
        <is>
          <t>Front Stabilizer Link Hyundai Elantra i30 Kia Cerato | OEM 54830-1G000 | Kingmay</t>
        </is>
      </c>
      <c r="M71" s="7" t="inlineStr">
        <is>
          <t>Front sway bar stabilizer link Hyundai Elantra LD/MD, i30, Kia Cerato. OEM 54830-1G000. Forged steel, sealed joints, zinc. MOQ 100pcs.</t>
        </is>
      </c>
    </row>
    <row r="72" ht="40" customHeight="1">
      <c r="A72" s="6" t="n">
        <v>173</v>
      </c>
      <c r="B72" s="7" t="inlineStr">
        <is>
          <t>Stabilizer Link</t>
        </is>
      </c>
      <c r="C72" s="7" t="inlineStr">
        <is>
          <t>part_173_stabilizer_link_tucson.jpg</t>
        </is>
      </c>
      <c r="D72" s="7" t="inlineStr">
        <is>
          <t>Front Stabilizer Link – Hyundai Tucson / ix35 / Kia Sportage SUV</t>
        </is>
      </c>
      <c r="E72" s="7" t="inlineStr"/>
      <c r="F72" s="8">
        <f>HYPERLINK("https://www.global-ucars.com/product-detail.html?id=173","View Product #173")</f>
        <v/>
      </c>
      <c r="G72" s="9" t="inlineStr"/>
      <c r="H72" s="9" t="inlineStr"/>
      <c r="I72" s="9" t="inlineStr"/>
      <c r="J72" s="9" t="inlineStr"/>
      <c r="K72" s="7" t="inlineStr">
        <is>
          <t>Front Stabilizer Link – Hyundai Tucson / ix35 / Kia Sportage SUV OEM wholesale supplier China — King</t>
        </is>
      </c>
      <c r="L72" s="7" t="inlineStr">
        <is>
          <t>Front Stabilizer Link Hyundai Tucson ix35 Kia Sportage | OEM 54830-2S000 | Kingmay</t>
        </is>
      </c>
      <c r="M72" s="7" t="inlineStr">
        <is>
          <t>Front sway bar link Hyundai Tucson LM/TL, ix35, Kia Sportage SL/QL. OEM 54830-2S000. SUV forged, sealed joints. MOQ 100pcs.</t>
        </is>
      </c>
    </row>
    <row r="73" ht="40" customHeight="1">
      <c r="A73" s="6" t="n">
        <v>174</v>
      </c>
      <c r="B73" s="7" t="inlineStr">
        <is>
          <t>Bushing Kit</t>
        </is>
      </c>
      <c r="C73" s="7" t="inlineStr">
        <is>
          <t>part_174_control_arm_bushing.jpg</t>
        </is>
      </c>
      <c r="D73" s="7" t="inlineStr">
        <is>
          <t>Control Arm Bushing Set – Hyundai / Kia Universal (Front &amp; Rear)</t>
        </is>
      </c>
      <c r="E73" s="7" t="inlineStr"/>
      <c r="F73" s="8">
        <f>HYPERLINK("https://www.global-ucars.com/product-detail.html?id=174","View Product #174")</f>
        <v/>
      </c>
      <c r="G73" s="9" t="inlineStr"/>
      <c r="H73" s="9" t="inlineStr"/>
      <c r="I73" s="9" t="inlineStr"/>
      <c r="J73" s="9" t="inlineStr"/>
      <c r="K73" s="7" t="inlineStr">
        <is>
          <t>Control Arm Bushing Set – Hyundai / Kia Universal (Front &amp; Rear) OEM wholesale supplier China — King</t>
        </is>
      </c>
      <c r="L73" s="7" t="inlineStr">
        <is>
          <t>Control Arm Bushing Hyundai Kia Front Rear | OEM 54584-2H000 | Kingmay Auto Parts</t>
        </is>
      </c>
      <c r="M73" s="7" t="inlineStr">
        <is>
          <t>Control arm bushing set for Hyundai Elantra, Sonata, Tucson, Kia Cerato, Sportage. OEM 54584-2H000. Natural rubber or polyurethane. MOQ 100pcs.</t>
        </is>
      </c>
    </row>
    <row r="74" ht="40" customHeight="1">
      <c r="A74" s="6" t="n">
        <v>175</v>
      </c>
      <c r="B74" s="7" t="inlineStr">
        <is>
          <t>Inner Tie Rod</t>
        </is>
      </c>
      <c r="C74" s="7" t="inlineStr">
        <is>
          <t>part_175_inner_tie_rod_elantra.jpg</t>
        </is>
      </c>
      <c r="D74" s="7" t="inlineStr">
        <is>
          <t>Inner Tie Rod / Rack End – Hyundai Elantra / i30 / Kia Cerato</t>
        </is>
      </c>
      <c r="E74" s="7" t="inlineStr"/>
      <c r="F74" s="8">
        <f>HYPERLINK("https://www.global-ucars.com/product-detail.html?id=175","View Product #175")</f>
        <v/>
      </c>
      <c r="G74" s="9" t="inlineStr"/>
      <c r="H74" s="9" t="inlineStr"/>
      <c r="I74" s="9" t="inlineStr"/>
      <c r="J74" s="9" t="inlineStr"/>
      <c r="K74" s="7" t="inlineStr">
        <is>
          <t>Inner Tie Rod / Rack End – Hyundai Elantra / i30 / Kia Cerato OEM wholesale supplier China — Kingmay</t>
        </is>
      </c>
      <c r="L74" s="7" t="inlineStr">
        <is>
          <t>Inner Tie Rod Rack End Hyundai Elantra i30 Kia Cerato | OEM 57724-1G000 | Kingmay</t>
        </is>
      </c>
      <c r="M74" s="7" t="inlineStr">
        <is>
          <t>Inner tie rod rack end Hyundai Elantra LD/MD, i30 FD, Kia Cerato. OEM 57724-1G000. CNC steel ≥58HRC ball. Export MOQ 50pcs.</t>
        </is>
      </c>
    </row>
    <row r="75" ht="40" customHeight="1">
      <c r="A75" s="6" t="n">
        <v>176</v>
      </c>
      <c r="B75" s="7" t="inlineStr">
        <is>
          <t>Strut Mount</t>
        </is>
      </c>
      <c r="C75" s="7" t="inlineStr">
        <is>
          <t>part_176_strut_mount_elantra.jpg</t>
        </is>
      </c>
      <c r="D75" s="7" t="inlineStr">
        <is>
          <t>Front Strut Mount &amp; Bearing Kit – Hyundai Elantra / Kia Cerato</t>
        </is>
      </c>
      <c r="E75" s="7" t="inlineStr"/>
      <c r="F75" s="8">
        <f>HYPERLINK("https://www.global-ucars.com/product-detail.html?id=176","View Product #176")</f>
        <v/>
      </c>
      <c r="G75" s="9" t="inlineStr"/>
      <c r="H75" s="9" t="inlineStr"/>
      <c r="I75" s="9" t="inlineStr"/>
      <c r="J75" s="9" t="inlineStr"/>
      <c r="K75" s="7" t="inlineStr">
        <is>
          <t>Front Strut Mount &amp; Bearing Kit – Hyundai Elantra / Kia Cerato OEM wholesale supplier China — Kingma</t>
        </is>
      </c>
      <c r="L75" s="7" t="inlineStr">
        <is>
          <t>Front Strut Mount Bearing Kit Hyundai Elantra Kia Cerato | OEM 54610-1G000 | Kingmay</t>
        </is>
      </c>
      <c r="M75" s="7" t="inlineStr">
        <is>
          <t>Front strut mount bearing kit Hyundai Elantra, Kia Cerato, i30. OEM 54610-1G000. Chrome bearing, NVH rubber. Pre-assembled. MOQ 30pcs.</t>
        </is>
      </c>
    </row>
    <row r="76" ht="40" customHeight="1">
      <c r="A76" s="6" t="n">
        <v>177</v>
      </c>
      <c r="B76" s="7" t="inlineStr">
        <is>
          <t>Control Arm</t>
        </is>
      </c>
      <c r="C76" s="7" t="inlineStr">
        <is>
          <t>part_177_control_arm_toyota.jpg</t>
        </is>
      </c>
      <c r="D76" s="7" t="inlineStr">
        <is>
          <t>Front Lower Control Arm – Toyota Camry / Corolla / Yaris</t>
        </is>
      </c>
      <c r="E76" s="7" t="inlineStr"/>
      <c r="F76" s="8">
        <f>HYPERLINK("https://www.global-ucars.com/product-detail.html?id=177","View Product #177")</f>
        <v/>
      </c>
      <c r="G76" s="9" t="inlineStr"/>
      <c r="H76" s="9" t="inlineStr"/>
      <c r="I76" s="9" t="inlineStr"/>
      <c r="J76" s="9" t="inlineStr"/>
      <c r="K76" s="7" t="inlineStr">
        <is>
          <t>Front Lower Control Arm – Toyota Camry / Corolla / Yaris OEM wholesale supplier China — Kingmay Auto</t>
        </is>
      </c>
      <c r="L76" s="7" t="inlineStr">
        <is>
          <t>Front Lower Control Arm Toyota Camry Corolla Yaris | OEM 48068-06060 | Kingmay</t>
        </is>
      </c>
      <c r="M76" s="7" t="inlineStr">
        <is>
          <t>Front lower control arm Toyota Camry XV40/XV50, Corolla E150/E180, Yaris/Vios. OEM 48068-06060. Forged steel, E-coat. B2B wholesale MOQ 20pcs.</t>
        </is>
      </c>
    </row>
    <row r="77" ht="40" customHeight="1">
      <c r="A77" s="6" t="n">
        <v>178</v>
      </c>
      <c r="B77" s="7" t="inlineStr">
        <is>
          <t>Tie Rod End</t>
        </is>
      </c>
      <c r="C77" s="7" t="inlineStr">
        <is>
          <t>part_178_tie_rod_end_toyota.jpg</t>
        </is>
      </c>
      <c r="D77" s="7" t="inlineStr">
        <is>
          <t>Outer Tie Rod End – Toyota Corolla / Camry / Yaris / Vios</t>
        </is>
      </c>
      <c r="E77" s="7" t="inlineStr"/>
      <c r="F77" s="8">
        <f>HYPERLINK("https://www.global-ucars.com/product-detail.html?id=178","View Product #178")</f>
        <v/>
      </c>
      <c r="G77" s="9" t="inlineStr"/>
      <c r="H77" s="9" t="inlineStr"/>
      <c r="I77" s="9" t="inlineStr"/>
      <c r="J77" s="9" t="inlineStr"/>
      <c r="K77" s="7" t="inlineStr">
        <is>
          <t>Outer Tie Rod End – Toyota Corolla / Camry / Yaris / Vios OEM wholesale supplier China — Kingmay Aut</t>
        </is>
      </c>
      <c r="L77" s="7" t="inlineStr">
        <is>
          <t>Outer Tie Rod End Toyota Corolla Camry Yaris Vios | OEM 45046-09360 | Kingmay</t>
        </is>
      </c>
      <c r="M77" s="7" t="inlineStr">
        <is>
          <t>Outer tie rod end Toyota Corolla E150/E180, Camry XV40/XV50, Yaris/Vios. OEM 45046-09360. 58HRC stud, greaseable, TPE boot. MOQ 50pcs.</t>
        </is>
      </c>
    </row>
    <row r="78" ht="40" customHeight="1">
      <c r="A78" s="6" t="n">
        <v>179</v>
      </c>
      <c r="B78" s="7" t="inlineStr">
        <is>
          <t>Ball Joint</t>
        </is>
      </c>
      <c r="C78" s="7" t="inlineStr">
        <is>
          <t>part_179_ball_joint_toyota.jpg</t>
        </is>
      </c>
      <c r="D78" s="7" t="inlineStr">
        <is>
          <t>Front Lower Ball Joint – Toyota Corolla / Camry / Yaris</t>
        </is>
      </c>
      <c r="E78" s="7" t="inlineStr"/>
      <c r="F78" s="8">
        <f>HYPERLINK("https://www.global-ucars.com/product-detail.html?id=179","View Product #179")</f>
        <v/>
      </c>
      <c r="G78" s="9" t="inlineStr"/>
      <c r="H78" s="9" t="inlineStr"/>
      <c r="I78" s="9" t="inlineStr"/>
      <c r="J78" s="9" t="inlineStr"/>
      <c r="K78" s="7" t="inlineStr">
        <is>
          <t xml:space="preserve">Front Lower Ball Joint – Toyota Corolla / Camry / Yaris OEM wholesale supplier China — Kingmay Auto </t>
        </is>
      </c>
      <c r="L78" s="7" t="inlineStr">
        <is>
          <t>Front Lower Ball Joint Toyota Corolla Camry Yaris | OEM 43330-09480 | Kingmay</t>
        </is>
      </c>
      <c r="M78" s="7" t="inlineStr">
        <is>
          <t>Front lower ball joint Toyota Corolla E150/E180, Camry XV40/XV50, Yaris/Vios. OEM 43330-09480. 40Cr stud 58HRC, PTFE socket. Export MOQ 50pcs.</t>
        </is>
      </c>
    </row>
    <row r="79" ht="40" customHeight="1">
      <c r="A79" s="6" t="n">
        <v>180</v>
      </c>
      <c r="B79" s="7" t="inlineStr">
        <is>
          <t>Control Arm</t>
        </is>
      </c>
      <c r="C79" s="7" t="inlineStr">
        <is>
          <t>part_180_control_arm_nissan.jpg</t>
        </is>
      </c>
      <c r="D79" s="7" t="inlineStr">
        <is>
          <t>Front Lower Control Arm – Nissan Sentra / Tiida / Sylphy</t>
        </is>
      </c>
      <c r="E79" s="7" t="inlineStr"/>
      <c r="F79" s="8">
        <f>HYPERLINK("https://www.global-ucars.com/product-detail.html?id=180","View Product #180")</f>
        <v/>
      </c>
      <c r="G79" s="9" t="inlineStr"/>
      <c r="H79" s="9" t="inlineStr"/>
      <c r="I79" s="9" t="inlineStr"/>
      <c r="J79" s="9" t="inlineStr"/>
      <c r="K79" s="7" t="inlineStr">
        <is>
          <t>Front Lower Control Arm – Nissan Sentra / Tiida / Sylphy OEM wholesale supplier China — Kingmay Auto</t>
        </is>
      </c>
      <c r="L79" s="7" t="inlineStr">
        <is>
          <t>Front Lower Control Arm Nissan Sentra Tiida Sylphy | OEM 54501-ET000 | Kingmay</t>
        </is>
      </c>
      <c r="M79" s="7" t="inlineStr">
        <is>
          <t>Front lower control arm Nissan Sentra B16/B17, Tiida C11, Sylphy G11, Almera N17. OEM 54501-ET000. Forged steel. B2B MOQ 20pcs.</t>
        </is>
      </c>
    </row>
    <row r="80" ht="40" customHeight="1">
      <c r="A80" s="6" t="n">
        <v>181</v>
      </c>
      <c r="B80" s="7" t="inlineStr">
        <is>
          <t>Tie Rod End</t>
        </is>
      </c>
      <c r="C80" s="7" t="inlineStr">
        <is>
          <t>part_181_tie_rod_end_nissan.jpg</t>
        </is>
      </c>
      <c r="D80" s="7" t="inlineStr">
        <is>
          <t>Outer Tie Rod End – Nissan Sentra / Tiida / Sylphy / Almera</t>
        </is>
      </c>
      <c r="E80" s="7" t="inlineStr"/>
      <c r="F80" s="8">
        <f>HYPERLINK("https://www.global-ucars.com/product-detail.html?id=181","View Product #181")</f>
        <v/>
      </c>
      <c r="G80" s="9" t="inlineStr"/>
      <c r="H80" s="9" t="inlineStr"/>
      <c r="I80" s="9" t="inlineStr"/>
      <c r="J80" s="9" t="inlineStr"/>
      <c r="K80" s="7" t="inlineStr">
        <is>
          <t>Outer Tie Rod End – Nissan Sentra / Tiida / Sylphy / Almera OEM wholesale supplier China — Kingmay A</t>
        </is>
      </c>
      <c r="L80" s="7" t="inlineStr">
        <is>
          <t>Outer Tie Rod End Nissan Sentra Tiida Sylphy Almera | OEM 48520-EL00A | Kingmay</t>
        </is>
      </c>
      <c r="M80" s="7" t="inlineStr">
        <is>
          <t>Outer tie rod end Nissan Sentra B16/B17, Tiida C11, Sylphy G11. OEM 48520-EL00A. Chrome stud, greaseable, zinc housing. MOQ 50pcs.</t>
        </is>
      </c>
    </row>
    <row r="81" ht="40" customHeight="1">
      <c r="A81" s="6" t="n">
        <v>182</v>
      </c>
      <c r="B81" s="7" t="inlineStr">
        <is>
          <t>Control Arm</t>
        </is>
      </c>
      <c r="C81" s="7" t="inlineStr">
        <is>
          <t>part_182_control_arm_byd.jpg</t>
        </is>
      </c>
      <c r="D81" s="7" t="inlineStr">
        <is>
          <t>Front Lower Control Arm – BYD F3 / F6 / G5 / G6</t>
        </is>
      </c>
      <c r="E81" s="7" t="inlineStr"/>
      <c r="F81" s="8">
        <f>HYPERLINK("https://www.global-ucars.com/product-detail.html?id=182","View Product #182")</f>
        <v/>
      </c>
      <c r="G81" s="9" t="inlineStr"/>
      <c r="H81" s="9" t="inlineStr"/>
      <c r="I81" s="9" t="inlineStr"/>
      <c r="J81" s="9" t="inlineStr"/>
      <c r="K81" s="7" t="inlineStr">
        <is>
          <t>Front Lower Control Arm – BYD F3 / F6 / G5 / G6 OEM wholesale supplier China — Kingmay Auto Parts</t>
        </is>
      </c>
      <c r="L81" s="7" t="inlineStr">
        <is>
          <t>Front Lower Control Arm BYD F3 F6 G5 G6 | OEM BYD Suspension | Kingmay Auto Parts</t>
        </is>
      </c>
      <c r="M81" s="7" t="inlineStr">
        <is>
          <t>Front lower control arm BYD F3, F6, G5, G6. Forged steel, OEM ball joint, E-coat. B2B wholesale export from China, MOQ 20pcs.</t>
        </is>
      </c>
    </row>
    <row r="82" ht="40" customHeight="1">
      <c r="A82" s="6" t="n">
        <v>183</v>
      </c>
      <c r="B82" s="7" t="inlineStr">
        <is>
          <t>Strut Mount</t>
        </is>
      </c>
      <c r="C82" s="7" t="inlineStr">
        <is>
          <t>part_183_strut_mount_sonata.jpg</t>
        </is>
      </c>
      <c r="D82" s="7" t="inlineStr">
        <is>
          <t>Front Strut Mount &amp; Bearing – Hyundai Sonata / Kia K5 Optima</t>
        </is>
      </c>
      <c r="E82" s="7" t="inlineStr"/>
      <c r="F82" s="8">
        <f>HYPERLINK("https://www.global-ucars.com/product-detail.html?id=183","View Product #183")</f>
        <v/>
      </c>
      <c r="G82" s="9" t="inlineStr"/>
      <c r="H82" s="9" t="inlineStr"/>
      <c r="I82" s="9" t="inlineStr"/>
      <c r="J82" s="9" t="inlineStr"/>
      <c r="K82" s="7" t="inlineStr">
        <is>
          <t xml:space="preserve">Front Strut Mount &amp; Bearing – Hyundai Sonata / Kia K5 Optima OEM wholesale supplier China — Kingmay </t>
        </is>
      </c>
      <c r="L82" s="7" t="inlineStr">
        <is>
          <t>Front Strut Mount Bearing Hyundai Sonata Kia K5 Optima | OEM 54610-3S000 | Kingmay</t>
        </is>
      </c>
      <c r="M82" s="7" t="inlineStr">
        <is>
          <t>Front strut mount + bearing kit Hyundai Sonata YF/LF, Kia K5/Optima. OEM 54610-3S000. Chrome bearing, NVH rubber. Pre-assembled. MOQ 30pcs.</t>
        </is>
      </c>
    </row>
    <row r="83" ht="40" customHeight="1">
      <c r="A83" s="6" t="n">
        <v>184</v>
      </c>
      <c r="B83" s="7" t="inlineStr">
        <is>
          <t>Strut Mount</t>
        </is>
      </c>
      <c r="C83" s="7" t="inlineStr">
        <is>
          <t>part_184_strut_mount_tucson.jpg</t>
        </is>
      </c>
      <c r="D83" s="7" t="inlineStr">
        <is>
          <t>Front Strut Mount &amp; Bearing – Hyundai Tucson / ix35 / Kia Sportage</t>
        </is>
      </c>
      <c r="E83" s="7" t="inlineStr"/>
      <c r="F83" s="8">
        <f>HYPERLINK("https://www.global-ucars.com/product-detail.html?id=184","View Product #184")</f>
        <v/>
      </c>
      <c r="G83" s="9" t="inlineStr"/>
      <c r="H83" s="9" t="inlineStr"/>
      <c r="I83" s="9" t="inlineStr"/>
      <c r="J83" s="9" t="inlineStr"/>
      <c r="K83" s="7" t="inlineStr">
        <is>
          <t>Front Strut Mount &amp; Bearing – Hyundai Tucson / ix35 / Kia Sportage OEM wholesale supplier China — Ki</t>
        </is>
      </c>
      <c r="L83" s="7" t="inlineStr">
        <is>
          <t>Front Strut Mount Bearing Hyundai Tucson ix35 Kia Sportage | OEM 54610-2S000 | Kingmay</t>
        </is>
      </c>
      <c r="M83" s="7" t="inlineStr">
        <is>
          <t>Front strut mount + bearing Hyundai Tucson LM/TL, ix35, Kia Sportage SL/QL. OEM 54610-2S000. SUV chrome bearing, NVH. MOQ 30pcs.</t>
        </is>
      </c>
    </row>
    <row r="84" ht="40" customHeight="1">
      <c r="A84" s="6" t="n">
        <v>185</v>
      </c>
      <c r="B84" s="7" t="inlineStr">
        <is>
          <t>Shock Absorber</t>
        </is>
      </c>
      <c r="C84" s="7" t="inlineStr">
        <is>
          <t>part_185_shock_absorber_elantra.jpg</t>
        </is>
      </c>
      <c r="D84" s="7" t="inlineStr">
        <is>
          <t>Front Shock Absorber – Hyundai Elantra / i30 / Kia Cerato</t>
        </is>
      </c>
      <c r="E84" s="7" t="inlineStr"/>
      <c r="F84" s="8">
        <f>HYPERLINK("https://www.global-ucars.com/product-detail.html?id=185","View Product #185")</f>
        <v/>
      </c>
      <c r="G84" s="9" t="inlineStr"/>
      <c r="H84" s="9" t="inlineStr"/>
      <c r="I84" s="9" t="inlineStr"/>
      <c r="J84" s="9" t="inlineStr"/>
      <c r="K84" s="7" t="inlineStr">
        <is>
          <t>Front Shock Absorber – Hyundai Elantra / i30 / Kia Cerato OEM wholesale supplier China — Kingmay Aut</t>
        </is>
      </c>
      <c r="L84" s="7" t="inlineStr">
        <is>
          <t>Front Shock Absorber Hyundai Elantra i30 Kia Cerato | OEM 54651-2H000 | Kingmay</t>
        </is>
      </c>
      <c r="M84" s="7" t="inlineStr">
        <is>
          <t>Front shock absorber Hyundai Elantra LD/MD, i30, Kia Cerato. OEM 54651-2H000. Monotube gas or twin-tube. Chrome piston rod. MOQ 10pcs.</t>
        </is>
      </c>
    </row>
    <row r="85" ht="40" customHeight="1">
      <c r="A85" s="6" t="n">
        <v>186</v>
      </c>
      <c r="B85" s="7" t="inlineStr">
        <is>
          <t>Shock Absorber</t>
        </is>
      </c>
      <c r="C85" s="7" t="inlineStr">
        <is>
          <t>part_186_shock_absorber_tucson.jpg</t>
        </is>
      </c>
      <c r="D85" s="7" t="inlineStr">
        <is>
          <t>Front &amp; Rear Shock Absorber – Hyundai Tucson / Kia Sportage</t>
        </is>
      </c>
      <c r="E85" s="7" t="inlineStr"/>
      <c r="F85" s="8">
        <f>HYPERLINK("https://www.global-ucars.com/product-detail.html?id=186","View Product #186")</f>
        <v/>
      </c>
      <c r="G85" s="9" t="inlineStr"/>
      <c r="H85" s="9" t="inlineStr"/>
      <c r="I85" s="9" t="inlineStr"/>
      <c r="J85" s="9" t="inlineStr"/>
      <c r="K85" s="7" t="inlineStr">
        <is>
          <t>Front &amp; Rear Shock Absorber – Hyundai Tucson / Kia Sportage OEM wholesale supplier China — Kingmay A</t>
        </is>
      </c>
      <c r="L85" s="7" t="inlineStr">
        <is>
          <t>Shock Absorber Hyundai Tucson ix35 Kia Sportage Front Rear | OEM 54651-2S000 | Kingmay</t>
        </is>
      </c>
      <c r="M85" s="7" t="inlineStr">
        <is>
          <t>Front &amp; rear shock absorber Hyundai Tucson LM/TL, ix35, Kia Sportage SL/QL. OEM 54651-2S000. Gas monotube, chrome rod. MOQ 10pcs.</t>
        </is>
      </c>
    </row>
    <row r="86" ht="40" customHeight="1">
      <c r="A86" s="6" t="n">
        <v>187</v>
      </c>
      <c r="B86" s="7" t="inlineStr">
        <is>
          <t>Wheel Bearing</t>
        </is>
      </c>
      <c r="C86" s="7" t="inlineStr">
        <is>
          <t>part_187_wheel_bearing_elantra.jpg</t>
        </is>
      </c>
      <c r="D86" s="7" t="inlineStr">
        <is>
          <t>Front Wheel Hub Bearing – Hyundai Elantra / Kia Cerato / i30</t>
        </is>
      </c>
      <c r="E86" s="7" t="inlineStr"/>
      <c r="F86" s="8">
        <f>HYPERLINK("https://www.global-ucars.com/product-detail.html?id=187","View Product #187")</f>
        <v/>
      </c>
      <c r="G86" s="9" t="inlineStr"/>
      <c r="H86" s="9" t="inlineStr"/>
      <c r="I86" s="9" t="inlineStr"/>
      <c r="J86" s="9" t="inlineStr"/>
      <c r="K86" s="7" t="inlineStr">
        <is>
          <t xml:space="preserve">Front Wheel Hub Bearing – Hyundai Elantra / Kia Cerato / i30 OEM wholesale supplier China — Kingmay </t>
        </is>
      </c>
      <c r="L86" s="7" t="inlineStr">
        <is>
          <t>Front Wheel Hub Bearing Hyundai Elantra Kia Cerato i30 | OEM 51720-1G000 | Kingmay</t>
        </is>
      </c>
      <c r="M86" s="7" t="inlineStr">
        <is>
          <t>Front wheel hub bearing Hyundai Elantra LD/MD, i30, Kia Cerato. OEM 51720-1G000. Double-row, ABS ring, sealed. MOQ 20pcs.</t>
        </is>
      </c>
    </row>
    <row r="87" ht="40" customHeight="1">
      <c r="A87" s="6" t="n">
        <v>188</v>
      </c>
      <c r="B87" s="7" t="inlineStr">
        <is>
          <t>Wheel Bearing</t>
        </is>
      </c>
      <c r="C87" s="7" t="inlineStr">
        <is>
          <t>part_188_wheel_bearing_tucson.jpg</t>
        </is>
      </c>
      <c r="D87" s="7" t="inlineStr">
        <is>
          <t>Front Wheel Hub Bearing – Hyundai Tucson / ix35 / Kia Sportage</t>
        </is>
      </c>
      <c r="E87" s="7" t="inlineStr"/>
      <c r="F87" s="8">
        <f>HYPERLINK("https://www.global-ucars.com/product-detail.html?id=188","View Product #188")</f>
        <v/>
      </c>
      <c r="G87" s="9" t="inlineStr"/>
      <c r="H87" s="9" t="inlineStr"/>
      <c r="I87" s="9" t="inlineStr"/>
      <c r="J87" s="9" t="inlineStr"/>
      <c r="K87" s="7" t="inlineStr">
        <is>
          <t>Front Wheel Hub Bearing – Hyundai Tucson / ix35 / Kia Sportage OEM wholesale supplier China — Kingma</t>
        </is>
      </c>
      <c r="L87" s="7" t="inlineStr">
        <is>
          <t>Front Wheel Bearing Hyundai Tucson ix35 Kia Sportage SUV | OEM 51720-2S000 | Kingmay</t>
        </is>
      </c>
      <c r="M87" s="7" t="inlineStr">
        <is>
          <t>Front wheel hub bearing Hyundai Tucson LM/TL, ix35, Kia Sportage SL/QL. OEM 51720-2S000. SUV double-row, ABS ring. MOQ 20pcs.</t>
        </is>
      </c>
    </row>
    <row r="88" ht="40" customHeight="1">
      <c r="A88" s="6" t="n">
        <v>189</v>
      </c>
      <c r="B88" s="7" t="inlineStr">
        <is>
          <t>Steering Knuckle</t>
        </is>
      </c>
      <c r="C88" s="7" t="inlineStr">
        <is>
          <t>part_189_steering_knuckle_elantra.jpg</t>
        </is>
      </c>
      <c r="D88" s="7" t="inlineStr">
        <is>
          <t>Front Steering Knuckle – Hyundai Elantra / i30 / Kia Cerato</t>
        </is>
      </c>
      <c r="E88" s="7" t="inlineStr"/>
      <c r="F88" s="8">
        <f>HYPERLINK("https://www.global-ucars.com/product-detail.html?id=189","View Product #189")</f>
        <v/>
      </c>
      <c r="G88" s="9" t="inlineStr"/>
      <c r="H88" s="9" t="inlineStr"/>
      <c r="I88" s="9" t="inlineStr"/>
      <c r="J88" s="9" t="inlineStr"/>
      <c r="K88" s="7" t="inlineStr">
        <is>
          <t>Front Steering Knuckle – Hyundai Elantra / i30 / Kia Cerato OEM wholesale supplier China — Kingmay A</t>
        </is>
      </c>
      <c r="L88" s="7" t="inlineStr">
        <is>
          <t>Front Steering Knuckle Hyundai Elantra i30 Kia Cerato | OEM 51715-1G000 | Kingmay</t>
        </is>
      </c>
      <c r="M88" s="7" t="inlineStr">
        <is>
          <t>Front steering knuckle/spindle Hyundai Elantra LD/MD, i30, Kia Cerato. OEM 51715-1G000. Forged aluminium, precision machined. MOQ 10pcs.</t>
        </is>
      </c>
    </row>
    <row r="89" ht="40" customHeight="1">
      <c r="A89" s="6" t="n">
        <v>190</v>
      </c>
      <c r="B89" s="7" t="inlineStr">
        <is>
          <t>Suspension Kit</t>
        </is>
      </c>
      <c r="C89" s="7" t="inlineStr">
        <is>
          <t>part_190_suspension_kit_hyundai.jpg</t>
        </is>
      </c>
      <c r="D89" s="7" t="inlineStr">
        <is>
          <t>Front Suspension Kit (Control Arm + Ball Joint + Tie Rod) – Hyundai Elantra / Kia Cerato</t>
        </is>
      </c>
      <c r="E89" s="7" t="inlineStr"/>
      <c r="F89" s="8">
        <f>HYPERLINK("https://www.global-ucars.com/product-detail.html?id=190","View Product #190")</f>
        <v/>
      </c>
      <c r="G89" s="9" t="inlineStr"/>
      <c r="H89" s="9" t="inlineStr"/>
      <c r="I89" s="9" t="inlineStr"/>
      <c r="J89" s="9" t="inlineStr"/>
      <c r="K89" s="7" t="inlineStr">
        <is>
          <t>Front Suspension Kit (Control Arm + Ball Joint + Tie Rod) – Hyundai Elantra / Kia Cerato OEM wholesa</t>
        </is>
      </c>
      <c r="L89" s="7" t="inlineStr">
        <is>
          <t>Front Suspension Kit Hyundai Elantra Kia Cerato – Control Arm Ball Joint Tie Rod | Kingmay</t>
        </is>
      </c>
      <c r="M89" s="7" t="inlineStr">
        <is>
          <t>Complete front suspension kit for Hyundai Elantra/i30/Kia Cerato: lower control arm + ball joint + outer tie rod end. OEM-grade. MOQ 10 sets. B2B wholesale.</t>
        </is>
      </c>
    </row>
    <row r="90" ht="40" customHeight="1">
      <c r="A90" s="6" t="n">
        <v>191</v>
      </c>
      <c r="B90" s="7" t="inlineStr">
        <is>
          <t>Stabilizer Link</t>
        </is>
      </c>
      <c r="C90" s="7" t="inlineStr">
        <is>
          <t>part_191_rear_stab_link_sonata.jpg</t>
        </is>
      </c>
      <c r="D90" s="7" t="inlineStr">
        <is>
          <t>Rear Stabilizer Bar Link – Hyundai Sonata / Kia K5 Optima</t>
        </is>
      </c>
      <c r="E90" s="7" t="inlineStr"/>
      <c r="F90" s="8">
        <f>HYPERLINK("https://www.global-ucars.com/product-detail.html?id=191","View Product #191")</f>
        <v/>
      </c>
      <c r="G90" s="9" t="inlineStr"/>
      <c r="H90" s="9" t="inlineStr"/>
      <c r="I90" s="9" t="inlineStr"/>
      <c r="J90" s="9" t="inlineStr"/>
      <c r="K90" s="7" t="inlineStr">
        <is>
          <t>Rear Stabilizer Bar Link – Hyundai Sonata / Kia K5 Optima OEM wholesale supplier China — Kingmay Aut</t>
        </is>
      </c>
      <c r="L90" s="7" t="inlineStr">
        <is>
          <t>Rear Stabilizer Link Hyundai Sonata Kia K5 Optima | OEM 55530-3S100 | Kingmay</t>
        </is>
      </c>
      <c r="M90" s="7" t="inlineStr">
        <is>
          <t>Rear sway bar link Hyundai Sonata YF/LF, Kia K5/Optima. OEM 55530-3S100. Forged, sealed, zinc. MOQ 100pcs.</t>
        </is>
      </c>
    </row>
    <row r="91" ht="40" customHeight="1">
      <c r="A91" s="6" t="n">
        <v>192</v>
      </c>
      <c r="B91" s="7" t="inlineStr">
        <is>
          <t>Trailing Arm</t>
        </is>
      </c>
      <c r="C91" s="7" t="inlineStr">
        <is>
          <t>part_192_trailing_arm_elantra.jpg</t>
        </is>
      </c>
      <c r="D91" s="7" t="inlineStr">
        <is>
          <t>Rear Trailing Arm – Hyundai Elantra / Kia Cerato</t>
        </is>
      </c>
      <c r="E91" s="7" t="inlineStr"/>
      <c r="F91" s="8">
        <f>HYPERLINK("https://www.global-ucars.com/product-detail.html?id=192","View Product #192")</f>
        <v/>
      </c>
      <c r="G91" s="9" t="inlineStr"/>
      <c r="H91" s="9" t="inlineStr"/>
      <c r="I91" s="9" t="inlineStr"/>
      <c r="J91" s="9" t="inlineStr"/>
      <c r="K91" s="7" t="inlineStr">
        <is>
          <t>Rear Trailing Arm – Hyundai Elantra / Kia Cerato OEM wholesale supplier China — Kingmay Auto Parts</t>
        </is>
      </c>
      <c r="L91" s="7" t="inlineStr">
        <is>
          <t>Rear Trailing Arm Hyundai Elantra Kia Cerato i30 | OEM 55100-1G000 | Kingmay</t>
        </is>
      </c>
      <c r="M91" s="7" t="inlineStr">
        <is>
          <t>Rear trailing arm Hyundai Elantra LD/MD, Kia Cerato, i30. OEM 55100-1G000. Stamped steel, factory bushing, E-coat. MOQ 20pcs.</t>
        </is>
      </c>
    </row>
    <row r="92" ht="40" customHeight="1">
      <c r="A92" s="6" t="n">
        <v>193</v>
      </c>
      <c r="B92" s="7" t="inlineStr">
        <is>
          <t>Control Arm</t>
        </is>
      </c>
      <c r="C92" s="7" t="inlineStr">
        <is>
          <t>part_193_rear_control_arm_tucson.jpg</t>
        </is>
      </c>
      <c r="D92" s="7" t="inlineStr">
        <is>
          <t>Rear Lower Control Arm – Hyundai Tucson / ix35 / Kia Sportage</t>
        </is>
      </c>
      <c r="E92" s="7" t="inlineStr"/>
      <c r="F92" s="8">
        <f>HYPERLINK("https://www.global-ucars.com/product-detail.html?id=193","View Product #193")</f>
        <v/>
      </c>
      <c r="G92" s="9" t="inlineStr"/>
      <c r="H92" s="9" t="inlineStr"/>
      <c r="I92" s="9" t="inlineStr"/>
      <c r="J92" s="9" t="inlineStr"/>
      <c r="K92" s="7" t="inlineStr">
        <is>
          <t>Rear Lower Control Arm – Hyundai Tucson / ix35 / Kia Sportage OEM wholesale supplier China — Kingmay</t>
        </is>
      </c>
      <c r="L92" s="7" t="inlineStr">
        <is>
          <t>Rear Lower Control Arm Hyundai Tucson ix35 Kia Sportage | OEM 55270-2S000 | Kingmay</t>
        </is>
      </c>
      <c r="M92" s="7" t="inlineStr">
        <is>
          <t>Rear lower control arm Hyundai Tucson LM/TL, ix35, Kia Sportage SL/QL. OEM 55270-2S000. Stamped steel, factory bushing. MOQ 20pcs.</t>
        </is>
      </c>
    </row>
    <row r="93" ht="40" customHeight="1">
      <c r="A93" s="6" t="n">
        <v>194</v>
      </c>
      <c r="B93" s="7" t="inlineStr">
        <is>
          <t>Control Arm</t>
        </is>
      </c>
      <c r="C93" s="7" t="inlineStr">
        <is>
          <t>part_194_control_arm_accent.jpg</t>
        </is>
      </c>
      <c r="D93" s="7" t="inlineStr">
        <is>
          <t>Front Lower Control Arm – Hyundai Accent / Verna / Kia Rio</t>
        </is>
      </c>
      <c r="E93" s="7" t="inlineStr"/>
      <c r="F93" s="8">
        <f>HYPERLINK("https://www.global-ucars.com/product-detail.html?id=194","View Product #194")</f>
        <v/>
      </c>
      <c r="G93" s="9" t="inlineStr"/>
      <c r="H93" s="9" t="inlineStr"/>
      <c r="I93" s="9" t="inlineStr"/>
      <c r="J93" s="9" t="inlineStr"/>
      <c r="K93" s="7" t="inlineStr">
        <is>
          <t>Front Lower Control Arm – Hyundai Accent / Verna / Kia Rio OEM wholesale supplier China — Kingmay Au</t>
        </is>
      </c>
      <c r="L93" s="7" t="inlineStr">
        <is>
          <t>Front Lower Control Arm Hyundai Accent Verna Kia Rio | OEM 54501-1E000 | Kingmay</t>
        </is>
      </c>
      <c r="M93" s="7" t="inlineStr">
        <is>
          <t>Front lower control arm Hyundai Accent MC/RB, Verna, Kia Rio. OEM 54501-1E000. Forged steel, pre-installed ball joint. MOQ 20pcs.</t>
        </is>
      </c>
    </row>
    <row r="94" ht="40" customHeight="1">
      <c r="A94" s="6" t="n">
        <v>195</v>
      </c>
      <c r="B94" s="7" t="inlineStr">
        <is>
          <t>Tie Rod End</t>
        </is>
      </c>
      <c r="C94" s="7" t="inlineStr">
        <is>
          <t>part_195_tie_rod_end_accent.jpg</t>
        </is>
      </c>
      <c r="D94" s="7" t="inlineStr">
        <is>
          <t>Outer Tie Rod End – Hyundai Accent / Verna / Kia Rio</t>
        </is>
      </c>
      <c r="E94" s="7" t="inlineStr"/>
      <c r="F94" s="8">
        <f>HYPERLINK("https://www.global-ucars.com/product-detail.html?id=195","View Product #195")</f>
        <v/>
      </c>
      <c r="G94" s="9" t="inlineStr"/>
      <c r="H94" s="9" t="inlineStr"/>
      <c r="I94" s="9" t="inlineStr"/>
      <c r="J94" s="9" t="inlineStr"/>
      <c r="K94" s="7" t="inlineStr">
        <is>
          <t>Outer Tie Rod End – Hyundai Accent / Verna / Kia Rio OEM wholesale supplier China — Kingmay Auto Par</t>
        </is>
      </c>
      <c r="L94" s="7" t="inlineStr">
        <is>
          <t>Outer Tie Rod End Hyundai Accent Verna Kia Rio | OEM 56820-1E000 | Kingmay</t>
        </is>
      </c>
      <c r="M94" s="7" t="inlineStr">
        <is>
          <t>Outer tie rod end Hyundai Accent MC/RB, Verna, Kia Rio JB/UB. OEM 56820-1E000. Chrome stud, TPE boot. MOQ 50pcs.</t>
        </is>
      </c>
    </row>
    <row r="95" ht="40" customHeight="1">
      <c r="A95" s="6" t="n">
        <v>196</v>
      </c>
      <c r="B95" s="7" t="inlineStr">
        <is>
          <t>Ball Joint</t>
        </is>
      </c>
      <c r="C95" s="7" t="inlineStr">
        <is>
          <t>part_196_ball_joint_accent.jpg</t>
        </is>
      </c>
      <c r="D95" s="7" t="inlineStr">
        <is>
          <t>Front Lower Ball Joint – Hyundai Accent / Verna / Kia Rio</t>
        </is>
      </c>
      <c r="E95" s="7" t="inlineStr"/>
      <c r="F95" s="8">
        <f>HYPERLINK("https://www.global-ucars.com/product-detail.html?id=196","View Product #196")</f>
        <v/>
      </c>
      <c r="G95" s="9" t="inlineStr"/>
      <c r="H95" s="9" t="inlineStr"/>
      <c r="I95" s="9" t="inlineStr"/>
      <c r="J95" s="9" t="inlineStr"/>
      <c r="K95" s="7" t="inlineStr">
        <is>
          <t>Front Lower Ball Joint – Hyundai Accent / Verna / Kia Rio OEM wholesale supplier China — Kingmay Aut</t>
        </is>
      </c>
      <c r="L95" s="7" t="inlineStr">
        <is>
          <t>Front Lower Ball Joint Hyundai Accent Verna Kia Rio | OEM 54530-1E000 | Kingmay</t>
        </is>
      </c>
      <c r="M95" s="7" t="inlineStr">
        <is>
          <t>Front lower ball joint Hyundai Accent MC/RB, Verna, Kia Rio. OEM 54530-1E000. 40Cr stud 58HRC, PTFE. MOQ 50pcs.</t>
        </is>
      </c>
    </row>
    <row r="96" ht="40" customHeight="1">
      <c r="A96" s="6" t="n">
        <v>197</v>
      </c>
      <c r="B96" s="7" t="inlineStr">
        <is>
          <t>Control Arm</t>
        </is>
      </c>
      <c r="C96" s="7" t="inlineStr">
        <is>
          <t>part_197_lower_arm_santa_fe_4wd.jpg</t>
        </is>
      </c>
      <c r="D96" s="7" t="inlineStr">
        <is>
          <t>Front Lower Control Arm Complete Assembly – Hyundai Santa Fe / Kia Sorento (4WD)</t>
        </is>
      </c>
      <c r="E96" s="7" t="inlineStr"/>
      <c r="F96" s="8">
        <f>HYPERLINK("https://www.global-ucars.com/product-detail.html?id=197","View Product #197")</f>
        <v/>
      </c>
      <c r="G96" s="9" t="inlineStr"/>
      <c r="H96" s="9" t="inlineStr"/>
      <c r="I96" s="9" t="inlineStr"/>
      <c r="J96" s="9" t="inlineStr"/>
      <c r="K96" s="7" t="inlineStr">
        <is>
          <t>Front Lower Control Arm Complete Assembly – Hyundai Santa Fe / Kia Sorento (4WD) OEM wholesale suppl</t>
        </is>
      </c>
      <c r="L96" s="7" t="inlineStr">
        <is>
          <t>Front Lower Control Arm Assembly Hyundai Santa Fe Kia Sorento 4WD | OEM 54501-2B000 | Kingmay</t>
        </is>
      </c>
      <c r="M96" s="7" t="inlineStr">
        <is>
          <t>Complete front lower control arm assembly for Hyundai Santa Fe CM/DM, Kia Sorento XM/UM. OEM 54501-2B000. 4WD forged, ball joint + bushing included. MOQ 10pcs.</t>
        </is>
      </c>
    </row>
    <row r="97" ht="40" customHeight="1">
      <c r="A97" s="6" t="n">
        <v>198</v>
      </c>
      <c r="B97" s="7" t="inlineStr">
        <is>
          <t>Tie Rod Kit</t>
        </is>
      </c>
      <c r="C97" s="7" t="inlineStr">
        <is>
          <t>part_198_tie_rod_kit_tucson.jpg</t>
        </is>
      </c>
      <c r="D97" s="7" t="inlineStr">
        <is>
          <t>Steering Rack Inner &amp; Outer Tie Rod Kit – Hyundai Tucson / Kia Sportage</t>
        </is>
      </c>
      <c r="E97" s="7" t="inlineStr"/>
      <c r="F97" s="8">
        <f>HYPERLINK("https://www.global-ucars.com/product-detail.html?id=198","View Product #198")</f>
        <v/>
      </c>
      <c r="G97" s="9" t="inlineStr"/>
      <c r="H97" s="9" t="inlineStr"/>
      <c r="I97" s="9" t="inlineStr"/>
      <c r="J97" s="9" t="inlineStr"/>
      <c r="K97" s="7" t="inlineStr">
        <is>
          <t>Steering Rack Inner &amp; Outer Tie Rod Kit – Hyundai Tucson / Kia Sportage OEM wholesale supplier China</t>
        </is>
      </c>
      <c r="L97" s="7" t="inlineStr">
        <is>
          <t>Tie Rod Kit Inner Outer Hyundai Tucson Kia Sportage | OEM Steering | Kingmay</t>
        </is>
      </c>
      <c r="M97" s="7" t="inlineStr">
        <is>
          <t>Steering tie rod complete kit (inner + outer) for Hyundai Tucson, ix35, Kia Sportage. OEM matching. B2B workshop kit pricing. MOQ 10 sets.</t>
        </is>
      </c>
    </row>
    <row r="98" ht="40" customHeight="1">
      <c r="A98" s="6" t="n">
        <v>199</v>
      </c>
      <c r="B98" s="7" t="inlineStr">
        <is>
          <t>Ball Joint</t>
        </is>
      </c>
      <c r="C98" s="7" t="inlineStr">
        <is>
          <t>part_199_ball_joint_tucson.jpg</t>
        </is>
      </c>
      <c r="D98" s="7" t="inlineStr">
        <is>
          <t>Front Lower Ball Joint – Hyundai Tucson / ix35 / Kia Sportage (SUV)</t>
        </is>
      </c>
      <c r="E98" s="7" t="inlineStr"/>
      <c r="F98" s="8">
        <f>HYPERLINK("https://www.global-ucars.com/product-detail.html?id=199","View Product #199")</f>
        <v/>
      </c>
      <c r="G98" s="9" t="inlineStr"/>
      <c r="H98" s="9" t="inlineStr"/>
      <c r="I98" s="9" t="inlineStr"/>
      <c r="J98" s="9" t="inlineStr"/>
      <c r="K98" s="7" t="inlineStr">
        <is>
          <t>Front Lower Ball Joint – Hyundai Tucson / ix35 / Kia Sportage (SUV) OEM wholesale supplier China — K</t>
        </is>
      </c>
      <c r="L98" s="7" t="inlineStr">
        <is>
          <t>Front Lower Ball Joint Hyundai Tucson ix35 Kia Sportage | OEM 54530-2S000 | Kingmay</t>
        </is>
      </c>
      <c r="M98" s="7" t="inlineStr">
        <is>
          <t>Front lower ball joint Hyundai Tucson LM/TL, ix35, Kia Sportage SL/QL. OEM 54530-2S000. SUV forged housing, 40CrMo stud. MOQ 30pcs.</t>
        </is>
      </c>
    </row>
    <row r="99" ht="40" customHeight="1">
      <c r="A99" s="6" t="n">
        <v>200</v>
      </c>
      <c r="B99" s="7" t="inlineStr">
        <is>
          <t>Subframe Bushing</t>
        </is>
      </c>
      <c r="C99" s="7" t="inlineStr">
        <is>
          <t>part_200_subframe_bushing_hyundai.jpg</t>
        </is>
      </c>
      <c r="D99" s="7" t="inlineStr">
        <is>
          <t>Front Subframe / Crossmember Bushing – Hyundai Sonata / Kia K5 / Tucson</t>
        </is>
      </c>
      <c r="E99" s="7" t="inlineStr"/>
      <c r="F99" s="8">
        <f>HYPERLINK("https://www.global-ucars.com/product-detail.html?id=200","View Product #200")</f>
        <v/>
      </c>
      <c r="G99" s="9" t="inlineStr"/>
      <c r="H99" s="9" t="inlineStr"/>
      <c r="I99" s="9" t="inlineStr"/>
      <c r="J99" s="9" t="inlineStr"/>
      <c r="K99" s="7" t="inlineStr">
        <is>
          <t>Front Subframe / Crossmember Bushing – Hyundai Sonata / Kia K5 / Tucson OEM wholesale supplier China</t>
        </is>
      </c>
      <c r="L99" s="7" t="inlineStr">
        <is>
          <t>Front Subframe Bushing Hyundai Sonata Kia K5 Tucson | OEM 62416-3S000 | Kingmay</t>
        </is>
      </c>
      <c r="M99" s="7" t="inlineStr">
        <is>
          <t>Front subframe crossmember bushing Hyundai Sonata, Kia K5, Tucson, Sportage. OEM 62416-3S000. NVH rubber, bonded metal. MOQ 100pcs.</t>
        </is>
      </c>
    </row>
    <row r="100" ht="40" customHeight="1">
      <c r="A100" s="6" t="n">
        <v>201</v>
      </c>
      <c r="B100" s="7" t="inlineStr">
        <is>
          <t>Suspension Kit</t>
        </is>
      </c>
      <c r="C100" s="7" t="inlineStr">
        <is>
          <t>part_201_suspension_kit_tucson.jpg</t>
        </is>
      </c>
      <c r="D100" s="7" t="inlineStr">
        <is>
          <t>Complete Suspension Rebuild Kit – Hyundai Tucson / Kia Sportage (Front Axle)</t>
        </is>
      </c>
      <c r="E100" s="7" t="inlineStr"/>
      <c r="F100" s="8">
        <f>HYPERLINK("https://www.global-ucars.com/product-detail.html?id=201","View Product #201")</f>
        <v/>
      </c>
      <c r="G100" s="9" t="inlineStr"/>
      <c r="H100" s="9" t="inlineStr"/>
      <c r="I100" s="9" t="inlineStr"/>
      <c r="J100" s="9" t="inlineStr"/>
      <c r="K100" s="7" t="inlineStr">
        <is>
          <t xml:space="preserve">Complete Suspension Rebuild Kit – Hyundai Tucson / Kia Sportage (Front Axle) OEM wholesale supplier </t>
        </is>
      </c>
      <c r="L100" s="7" t="inlineStr">
        <is>
          <t>Complete Front Suspension Kit Hyundai Tucson Kia Sportage SUV | 8-Piece | Kingmay</t>
        </is>
      </c>
      <c r="M100" s="7" t="inlineStr">
        <is>
          <t>8-piece complete front suspension rebuild kit for Hyundai Tucson/ix35, Kia Sportage. Control arm + ball joint + tie rod + sway bar link. OEM-grade. B2B kit MOQ 5 sets.</t>
        </is>
      </c>
    </row>
    <row r="101" ht="40" customHeight="1">
      <c r="A101" s="6" t="n">
        <v>202</v>
      </c>
      <c r="B101" s="7" t="inlineStr">
        <is>
          <t>Control Arm</t>
        </is>
      </c>
      <c r="C101" s="7" t="inlineStr">
        <is>
          <t>part_202_control_arm_ioniq5.jpg</t>
        </is>
      </c>
      <c r="D101" s="7" t="inlineStr">
        <is>
          <t>Front Lower Control Arm – Hyundai Ioniq 5 / Kia EV6 (EV Platform)</t>
        </is>
      </c>
      <c r="E101" s="7" t="inlineStr"/>
      <c r="F101" s="8">
        <f>HYPERLINK("https://www.global-ucars.com/product-detail.html?id=202","View Product #202")</f>
        <v/>
      </c>
      <c r="G101" s="9" t="inlineStr"/>
      <c r="H101" s="9" t="inlineStr"/>
      <c r="I101" s="9" t="inlineStr"/>
      <c r="J101" s="9" t="inlineStr"/>
      <c r="K101" s="7" t="inlineStr">
        <is>
          <t>Front Lower Control Arm – Hyundai Ioniq 5 / Kia EV6 (EV Platform) OEM wholesale supplier China — Kin</t>
        </is>
      </c>
      <c r="L101" s="7" t="inlineStr">
        <is>
          <t>Front Lower Control Arm Hyundai Ioniq 5 Kia EV6 GV60 | OEM 54501-GI000 | Kingmay</t>
        </is>
      </c>
      <c r="M101" s="7" t="inlineStr">
        <is>
          <t>Front lower control arm for Hyundai Ioniq 5, Kia EV6, GV60 (E-GMP platform). OEM 54501-GI000. Forged aluminium, EV-grade. MOQ 10pcs. Future EV aftermarket SKU.</t>
        </is>
      </c>
    </row>
    <row r="102" ht="22" customHeight="1">
      <c r="A102" s="5" t="inlineStr">
        <is>
          <t>⚡ Electrical System (6 parts)</t>
        </is>
      </c>
    </row>
    <row r="103" ht="40" customHeight="1">
      <c r="A103" s="6" t="n">
        <v>76</v>
      </c>
      <c r="B103" s="7" t="inlineStr">
        <is>
          <t>Power Window Switch</t>
        </is>
      </c>
      <c r="C103" s="7" t="inlineStr">
        <is>
          <t>part_076_power_window_switch.jpg</t>
        </is>
      </c>
      <c r="D103" s="7" t="inlineStr">
        <is>
          <t>Power Window Switch</t>
        </is>
      </c>
      <c r="E103" s="7" t="inlineStr"/>
      <c r="F103" s="8">
        <f>HYPERLINK("https://www.global-ucars.com/product-detail.html?id=76","View Product #76")</f>
        <v/>
      </c>
      <c r="G103" s="9" t="inlineStr"/>
      <c r="H103" s="9" t="inlineStr"/>
      <c r="I103" s="9" t="inlineStr"/>
      <c r="J103" s="9" t="inlineStr"/>
      <c r="K103" s="7" t="inlineStr">
        <is>
          <t>Power Window Switch wholesale OEM supplier China export — Electrical System auto parts</t>
        </is>
      </c>
      <c r="L103" s="7" t="inlineStr">
        <is>
          <t>Power Window Switch Wholesale China | Electrical System Supp</t>
        </is>
      </c>
      <c r="M103" s="7" t="inlineStr">
        <is>
          <t>Buy Power Window Switch wholesale from China. OEM-equivalent power window switches for driver and passenger door positions, supplied as individual switches or c</t>
        </is>
      </c>
    </row>
    <row r="104" ht="40" customHeight="1">
      <c r="A104" s="6" t="n">
        <v>77</v>
      </c>
      <c r="B104" s="7" t="inlineStr">
        <is>
          <t>Alternator</t>
        </is>
      </c>
      <c r="C104" s="7" t="inlineStr">
        <is>
          <t>part_077_alternator.jpg</t>
        </is>
      </c>
      <c r="D104" s="7" t="inlineStr">
        <is>
          <t>Alternator</t>
        </is>
      </c>
      <c r="E104" s="7" t="inlineStr"/>
      <c r="F104" s="8">
        <f>HYPERLINK("https://www.global-ucars.com/product-detail.html?id=77","View Product #77")</f>
        <v/>
      </c>
      <c r="G104" s="9" t="inlineStr"/>
      <c r="H104" s="9" t="inlineStr"/>
      <c r="I104" s="9" t="inlineStr"/>
      <c r="J104" s="9" t="inlineStr"/>
      <c r="K104" s="7" t="inlineStr">
        <is>
          <t>Alternator wholesale OEM supplier China export — Electrical System auto parts</t>
        </is>
      </c>
      <c r="L104" s="7" t="inlineStr">
        <is>
          <t>Alternator Wholesale China | Electrical System Supplier — Ki</t>
        </is>
      </c>
      <c r="M104" s="7" t="inlineStr">
        <is>
          <t>Buy Alternator wholesale from China. Remanufactured and new-equivalent alternators for reliable battery charging and electrical system supply. Each alternator i</t>
        </is>
      </c>
    </row>
    <row r="105" ht="40" customHeight="1">
      <c r="A105" s="6" t="n">
        <v>78</v>
      </c>
      <c r="B105" s="7" t="inlineStr">
        <is>
          <t>Safety &amp; Camera</t>
        </is>
      </c>
      <c r="C105" s="7" t="inlineStr">
        <is>
          <t>part_078_park_assist_camera.jpg</t>
        </is>
      </c>
      <c r="D105" s="7" t="inlineStr">
        <is>
          <t>Rear View Camera (Park Assist)</t>
        </is>
      </c>
      <c r="E105" s="7" t="inlineStr"/>
      <c r="F105" s="8">
        <f>HYPERLINK("https://www.global-ucars.com/product-detail.html?id=78","View Product #78")</f>
        <v/>
      </c>
      <c r="G105" s="9" t="inlineStr"/>
      <c r="H105" s="9" t="inlineStr"/>
      <c r="I105" s="9" t="inlineStr"/>
      <c r="J105" s="9" t="inlineStr"/>
      <c r="K105" s="7" t="inlineStr">
        <is>
          <t>Rear View Camera (Park Assist) wholesale OEM supplier China export — Electrical System auto parts</t>
        </is>
      </c>
      <c r="L105" s="7" t="inlineStr">
        <is>
          <t xml:space="preserve">Rear View Camera (Park Assist) Wholesale China | Electrical </t>
        </is>
      </c>
      <c r="M105" s="7" t="inlineStr">
        <is>
          <t>Buy Rear View Camera (Park Assist) wholesale from China. OEM-style reverse/parking assist cameras providing a wide-angle rear view image to the vehicle's multim</t>
        </is>
      </c>
    </row>
    <row r="106" ht="40" customHeight="1">
      <c r="A106" s="6" t="n">
        <v>80</v>
      </c>
      <c r="B106" s="7" t="inlineStr">
        <is>
          <t>Abs Sensor</t>
        </is>
      </c>
      <c r="C106" s="7" t="inlineStr">
        <is>
          <t>part_080_abs_sensor.jpg</t>
        </is>
      </c>
      <c r="D106" s="7" t="inlineStr">
        <is>
          <t>ABS Wheel Speed Sensor</t>
        </is>
      </c>
      <c r="E106" s="7" t="inlineStr"/>
      <c r="F106" s="8">
        <f>HYPERLINK("https://www.global-ucars.com/product-detail.html?id=80","View Product #80")</f>
        <v/>
      </c>
      <c r="G106" s="9" t="inlineStr"/>
      <c r="H106" s="9" t="inlineStr"/>
      <c r="I106" s="9" t="inlineStr"/>
      <c r="J106" s="9" t="inlineStr"/>
      <c r="K106" s="7" t="inlineStr">
        <is>
          <t>ABS Wheel Speed Sensor wholesale OEM supplier China export — Electrical System auto parts</t>
        </is>
      </c>
      <c r="L106" s="7" t="inlineStr">
        <is>
          <t>ABS Wheel Speed Sensor Wholesale China | Electrical System S</t>
        </is>
      </c>
      <c r="M106" s="7" t="inlineStr">
        <is>
          <t>Buy ABS Wheel Speed Sensor wholesale from China. ABS wheel speed sensors (WSS) providing wheel rotational speed data to the ABS/ESP control module for anti-lock</t>
        </is>
      </c>
    </row>
    <row r="107" ht="40" customHeight="1">
      <c r="A107" s="6" t="n">
        <v>89</v>
      </c>
      <c r="B107" s="7" t="inlineStr">
        <is>
          <t>Starter Motor</t>
        </is>
      </c>
      <c r="C107" s="7" t="inlineStr">
        <is>
          <t>part_89.jpg</t>
        </is>
      </c>
      <c r="D107" s="7" t="inlineStr">
        <is>
          <t>Starter Motor</t>
        </is>
      </c>
      <c r="E107" s="7" t="inlineStr"/>
      <c r="F107" s="8">
        <f>HYPERLINK("https://www.global-ucars.com/product-detail.html?id=89","View Product #89")</f>
        <v/>
      </c>
      <c r="G107" s="9" t="inlineStr"/>
      <c r="H107" s="9" t="inlineStr"/>
      <c r="I107" s="9" t="inlineStr"/>
      <c r="J107" s="9" t="inlineStr"/>
      <c r="K107" s="7" t="inlineStr">
        <is>
          <t>Starter Motor wholesale OEM supplier China export — Electrical System auto parts</t>
        </is>
      </c>
      <c r="L107" s="7" t="inlineStr">
        <is>
          <t>Starter Motor Wholesale China | Electrical System Supplier —</t>
        </is>
      </c>
      <c r="M107" s="7" t="inlineStr">
        <is>
          <t xml:space="preserve">Buy Starter Motor wholesale from China. Direct-drive and planetary-gear reduction starter motors for petrol and diesel engines. Planetary-gear starters deliver </t>
        </is>
      </c>
    </row>
    <row r="108" ht="40" customHeight="1">
      <c r="A108" s="6" t="n">
        <v>90</v>
      </c>
      <c r="B108" s="7" t="inlineStr">
        <is>
          <t>Wiring &amp; Harnesses</t>
        </is>
      </c>
      <c r="C108" s="7" t="inlineStr">
        <is>
          <t>part_090_automotive_wiring_harness.jpg</t>
        </is>
      </c>
      <c r="D108" s="7" t="inlineStr">
        <is>
          <t>Automotive Wiring Harness</t>
        </is>
      </c>
      <c r="E108" s="7" t="inlineStr"/>
      <c r="F108" s="8">
        <f>HYPERLINK("https://www.global-ucars.com/product-detail.html?id=90","View Product #90")</f>
        <v/>
      </c>
      <c r="G108" s="9" t="inlineStr"/>
      <c r="H108" s="9" t="inlineStr"/>
      <c r="I108" s="9" t="inlineStr"/>
      <c r="J108" s="9" t="inlineStr"/>
      <c r="K108" s="7" t="inlineStr">
        <is>
          <t>Automotive Wiring Harness wholesale OEM supplier China export — Electrical System auto parts</t>
        </is>
      </c>
      <c r="L108" s="7" t="inlineStr">
        <is>
          <t>Automotive Wiring Harness Wholesale China | Electrical Syste</t>
        </is>
      </c>
      <c r="M108" s="7" t="inlineStr">
        <is>
          <t xml:space="preserve">Buy Automotive Wiring Harness wholesale from China. Custom and OEM-equivalent vehicle wiring harnesses manufactured to automotive wire gauge, insulation rating </t>
        </is>
      </c>
    </row>
  </sheetData>
  <autoFilter ref="A4:M108"/>
  <mergeCells count="7">
    <mergeCell ref="A102:M102"/>
    <mergeCell ref="A1:M1"/>
    <mergeCell ref="A37:M37"/>
    <mergeCell ref="A5:M5"/>
    <mergeCell ref="A3:M3"/>
    <mergeCell ref="A2:M2"/>
    <mergeCell ref="A49:M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00" customWidth="1" min="1" max="1"/>
    <col width="12" customWidth="1" min="2" max="2"/>
  </cols>
  <sheetData>
    <row r="1">
      <c r="A1" s="10" t="inlineStr">
        <is>
          <t>Auto Parts SEO Optimization Summary</t>
        </is>
      </c>
    </row>
    <row r="3">
      <c r="A3" t="inlineStr"/>
      <c r="B3" t="inlineStr"/>
    </row>
    <row r="4">
      <c r="A4" s="11" t="inlineStr">
        <is>
          <t>Main System</t>
        </is>
      </c>
      <c r="B4" s="11" t="inlineStr">
        <is>
          <t>Count</t>
        </is>
      </c>
    </row>
    <row r="5">
      <c r="A5" t="inlineStr">
        <is>
          <t>🔴 Engine</t>
        </is>
      </c>
      <c r="B5" t="n">
        <v>31</v>
      </c>
    </row>
    <row r="6">
      <c r="A6" t="inlineStr">
        <is>
          <t>🔵 Cooling</t>
        </is>
      </c>
      <c r="B6" t="n">
        <v>11</v>
      </c>
    </row>
    <row r="7">
      <c r="A7" t="inlineStr">
        <is>
          <t>🟡 Suspension</t>
        </is>
      </c>
      <c r="B7" t="n">
        <v>52</v>
      </c>
    </row>
    <row r="8">
      <c r="A8" t="inlineStr">
        <is>
          <t>⚡ Electrical</t>
        </is>
      </c>
      <c r="B8" t="n">
        <v>6</v>
      </c>
    </row>
    <row r="9">
      <c r="A9" s="12" t="inlineStr">
        <is>
          <t>TOTAL</t>
        </is>
      </c>
      <c r="B9" s="12" t="n">
        <v>100</v>
      </c>
    </row>
    <row r="12">
      <c r="A12" s="13" t="inlineStr">
        <is>
          <t>Google SEO Requirements (Post March 2026 Core Update)</t>
        </is>
      </c>
    </row>
    <row r="13">
      <c r="A13" s="14" t="inlineStr"/>
    </row>
    <row r="14">
      <c r="A14" s="15" t="inlineStr">
        <is>
          <t>1. IMAGE-OEM ACCURACY: Product image MUST match the OEM part number shown. Mismatched images = low-trust signal.</t>
        </is>
      </c>
    </row>
    <row r="15">
      <c r="A15" s="15" t="inlineStr">
        <is>
          <t>2. ALT TEXT: Every product image needs descriptive alt text (100-150 chars) including part name, system, and vehicle compatibility.</t>
        </is>
      </c>
    </row>
    <row r="16">
      <c r="A16" s="15" t="inlineStr">
        <is>
          <t>3. META TITLE: 50-60 characters, primary keyword first, avoid keyword stuffing.</t>
        </is>
      </c>
    </row>
    <row r="17">
      <c r="A17" s="15" t="inlineStr">
        <is>
          <t>4. META DESCRIPTION: 150-160 characters, include part number, system, and call-to-action.</t>
        </is>
      </c>
    </row>
    <row r="18">
      <c r="A18" s="15" t="inlineStr">
        <is>
          <t>5. ORIGINAL CONTENT: Product descriptions must be unique, detailed, and informative. No copy-paste from competitors.</t>
        </is>
      </c>
    </row>
    <row r="19">
      <c r="A19" s="15" t="inlineStr">
        <is>
          <t>6. SPECIFICATIONS: Include real OEM numbers, material, dimensions, compatibility list when available.</t>
        </is>
      </c>
    </row>
    <row r="20">
      <c r="A20" s="15" t="inlineStr">
        <is>
          <t>7. INTERNAL LINKS: Link related parts within the same system (Engine, Cooling, Suspension, Electrical).</t>
        </is>
      </c>
    </row>
    <row r="21">
      <c r="A21" s="15" t="inlineStr">
        <is>
          <t>8. IMAGE QUALITY: Minimum 800x800px, clean white or light background, product centered.</t>
        </is>
      </c>
    </row>
    <row r="22">
      <c r="A22" s="14" t="inlineStr"/>
    </row>
    <row r="23">
      <c r="A23" s="16" t="inlineStr">
        <is>
          <t>AFTER TEAM REVIEW:</t>
        </is>
      </c>
    </row>
    <row r="24">
      <c r="A24" s="14" t="inlineStr">
        <is>
          <t>- Replace mismatched images with correct product photos</t>
        </is>
      </c>
    </row>
    <row r="25">
      <c r="A25" s="14" t="inlineStr">
        <is>
          <t>- AI will then enhance backgrounds (uniform style, professional look)</t>
        </is>
      </c>
    </row>
    <row r="26">
      <c r="A26" s="14" t="inlineStr">
        <is>
          <t>- Update alt_text, meta_title, meta_description in products data</t>
        </is>
      </c>
    </row>
    <row r="27">
      <c r="A27" s="14" t="inlineStr">
        <is>
          <t>- Regenerate products-inline.js and redeploy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2026-04-14T06:05:40Z</dcterms:created>
  <dcterms:modified xmlns:dcterms="http://purl.org/dc/terms/" xmlns:xsi="http://www.w3.org/2001/XMLSchema-instance" xsi:type="dcterms:W3CDTF">2026-04-14T06:05:40Z</dcterms:modified>
</cp:coreProperties>
</file>